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esktop\"/>
    </mc:Choice>
  </mc:AlternateContent>
  <bookViews>
    <workbookView xWindow="0" yWindow="0" windowWidth="20490" windowHeight="7755" activeTab="7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8" l="1"/>
  <c r="A15" i="8"/>
  <c r="A10" i="8"/>
  <c r="A7" i="8"/>
  <c r="C27" i="7"/>
  <c r="C28" i="7"/>
  <c r="C29" i="7"/>
  <c r="C30" i="7"/>
  <c r="C26" i="7"/>
  <c r="B17" i="7"/>
  <c r="B12" i="7"/>
  <c r="B7" i="7"/>
  <c r="A17" i="6"/>
  <c r="A14" i="6"/>
  <c r="A11" i="6"/>
  <c r="A8" i="6"/>
  <c r="A5" i="6"/>
  <c r="A33" i="5"/>
  <c r="A25" i="4"/>
  <c r="A22" i="4"/>
  <c r="A19" i="4"/>
  <c r="E17" i="3"/>
  <c r="E13" i="3"/>
  <c r="A21" i="3"/>
  <c r="A17" i="3"/>
  <c r="A13" i="3"/>
</calcChain>
</file>

<file path=xl/sharedStrings.xml><?xml version="1.0" encoding="utf-8"?>
<sst xmlns="http://schemas.openxmlformats.org/spreadsheetml/2006/main" count="201" uniqueCount="160">
  <si>
    <t>Q1</t>
  </si>
  <si>
    <r>
      <t>Data cleaning</t>
    </r>
    <r>
      <rPr>
        <sz val="11"/>
        <color theme="1"/>
        <rFont val="Calibri"/>
        <family val="2"/>
        <scheme val="minor"/>
      </rPr>
      <t xml:space="preserve"> is the process of finding and fixing errors, inconsistencies, or missing values in a dataset to ensure it is accurate and reliable.</t>
    </r>
  </si>
  <si>
    <t>What is data cleaning, and why is it important in data analysis?</t>
  </si>
  <si>
    <t>Why it’s important:</t>
  </si>
  <si>
    <t>a. Ensure accurate analysis</t>
  </si>
  <si>
    <t>b. Improves model performance</t>
  </si>
  <si>
    <t>c. Prevents misleading insights</t>
  </si>
  <si>
    <t>d. Helps in better decision making.</t>
  </si>
  <si>
    <t>If you analyze unclean data, you may get:</t>
  </si>
  <si>
    <t>a. Wrong Conclusions</t>
  </si>
  <si>
    <t>b. Incorrect Predictions</t>
  </si>
  <si>
    <t>c. Duplicate records</t>
  </si>
  <si>
    <t>d. Missing Values</t>
  </si>
  <si>
    <t>a. Remove Duplicates</t>
  </si>
  <si>
    <t>b. Handle missing values</t>
  </si>
  <si>
    <t>c. Correct data types</t>
  </si>
  <si>
    <t>d. Fix inconsistencies</t>
  </si>
  <si>
    <t>e. Remove outliers if necessary</t>
  </si>
  <si>
    <t>f. Standardize formatting</t>
  </si>
  <si>
    <t>e. Inconsistent Formats</t>
  </si>
  <si>
    <t>What are the potential consequences of analyzing unclean or messy data?</t>
  </si>
  <si>
    <t>Explain the common steps involved in cleaning and organizing data</t>
  </si>
  <si>
    <t>Q2</t>
  </si>
  <si>
    <t>How would you sort the following dataset first by "Department" (A-Z) and then by "Salary" (Largest to Smallest)?</t>
  </si>
  <si>
    <t>Write a step by step approach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</si>
  <si>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</si>
  <si>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</si>
  <si>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</si>
  <si>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</si>
  <si>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</si>
  <si>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</si>
  <si>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</si>
  <si>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</si>
  <si>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Column1</t>
  </si>
  <si>
    <t>Column2</t>
  </si>
  <si>
    <t>Column3</t>
  </si>
  <si>
    <t>Steps:-</t>
  </si>
  <si>
    <t>1. Select the data(A8:C10)</t>
  </si>
  <si>
    <t>2. Go to data-&gt; Sort</t>
  </si>
  <si>
    <t>3. First sort by: Department</t>
  </si>
  <si>
    <t>4. Add Level-&gt; Then sort by: Salary, Order( Largest to Smallest )</t>
  </si>
  <si>
    <t>5. Click OK</t>
  </si>
  <si>
    <t>Q3</t>
  </si>
  <si>
    <t>Explain the use of text functions such as TRIM , LEFT, RIGHT, MID, and CONCAT in data cleaning.</t>
  </si>
  <si>
    <t>TRIM:-</t>
  </si>
  <si>
    <t>Used to clean extra spaces</t>
  </si>
  <si>
    <t>LEFT:-</t>
  </si>
  <si>
    <t>Extract text from beginnings</t>
  </si>
  <si>
    <t>RIGHT:-</t>
  </si>
  <si>
    <t>Extract text from ending</t>
  </si>
  <si>
    <t>MID:-</t>
  </si>
  <si>
    <t>Extract text from middle</t>
  </si>
  <si>
    <t>CONCAT:-</t>
  </si>
  <si>
    <t>Joins multiple text</t>
  </si>
  <si>
    <t>Q4</t>
  </si>
  <si>
    <t>What is the role of date functions like TODAY in managing datasets</t>
  </si>
  <si>
    <t>TODAY() automatically returns the current date.</t>
  </si>
  <si>
    <t>USEFUL FOR:-</t>
  </si>
  <si>
    <t>1. Calculating age</t>
  </si>
  <si>
    <t>2. Finding due dates</t>
  </si>
  <si>
    <t>3. Tracking days remaining</t>
  </si>
  <si>
    <t>4. Updating reports without manual date entry</t>
  </si>
  <si>
    <t xml:space="preserve">a. Automatic date entry </t>
  </si>
  <si>
    <t>b. Calculating employees experience(If joining date is needed)</t>
  </si>
  <si>
    <t>c. Find next salary revision date</t>
  </si>
  <si>
    <t>Q5</t>
  </si>
  <si>
    <t>Apply Data Validation to restrict Quantity values to only whole numbers between 1 and 10</t>
  </si>
  <si>
    <t xml:space="preserve"> </t>
  </si>
  <si>
    <t>Customer Name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</si>
  <si>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</si>
  <si>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</si>
  <si>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</si>
  <si>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</si>
  <si>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</si>
  <si>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</si>
  <si>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</si>
  <si>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</si>
  <si>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Daniel Jhonson</t>
  </si>
  <si>
    <t>Michael Jhonson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</si>
  <si>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</si>
  <si>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</si>
  <si>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</si>
  <si>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</si>
  <si>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</si>
  <si>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</si>
  <si>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</si>
  <si>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Bagpack</t>
  </si>
  <si>
    <t>Headphones</t>
  </si>
  <si>
    <t>t-shirt</t>
  </si>
  <si>
    <t>Electronics</t>
  </si>
  <si>
    <t>Clothing</t>
  </si>
  <si>
    <t>Home Décor</t>
  </si>
  <si>
    <t>Column4</t>
  </si>
  <si>
    <t>Column5</t>
  </si>
  <si>
    <t>STEPS:-</t>
  </si>
  <si>
    <t>1. Select the Quantity column</t>
  </si>
  <si>
    <t>2. Go to data-&gt; Data Validation</t>
  </si>
  <si>
    <t>3. Set:</t>
  </si>
  <si>
    <t>a. Allow: Whole Number</t>
  </si>
  <si>
    <t>b. Data: Between</t>
  </si>
  <si>
    <t>c. Minimum: 1</t>
  </si>
  <si>
    <t>d. Maximum: 10</t>
  </si>
  <si>
    <t>Configure an input message that appears when a user selects a cell in the "Quantity" column explaining:  "Please enter a whole number between 1 and 10."</t>
  </si>
  <si>
    <t>(This ensures quantity must be a number)</t>
  </si>
  <si>
    <t>(Quantity must be between 1 and 10)</t>
  </si>
  <si>
    <t>Please enter a whole number between 1 and 10</t>
  </si>
  <si>
    <t>In quantity data there is use pof data validation andanswer should be in between 1 and 10 only.</t>
  </si>
  <si>
    <t>Set up an error alert message that triggers if the user enters a number less than 1 or greater than 10, showing:  "Invalid input! The quantity must be a whole number between 1 and 10."</t>
  </si>
  <si>
    <t>" Invalid input! The quantity must be whole number between 1 and 10</t>
  </si>
  <si>
    <t>Q6</t>
  </si>
  <si>
    <t>Understand and apply fundamental text functions like LEFT, RIGHT, MID, and LEN</t>
  </si>
  <si>
    <t>1. Extract the first 5 characters from the string "ExcelTipsAreGreat" using the LEFT function.</t>
  </si>
  <si>
    <t>ExcelTipsAreGreat</t>
  </si>
  <si>
    <t>2. Extract the last 4 characters from "DataAnalysis.xlsx" using the RIGHT function.</t>
  </si>
  <si>
    <t>3.Extract the substring "Tips" from "ExcelTipsAreGreat" using the MID function</t>
  </si>
  <si>
    <t>4. Count the total number of characters in the string "Hello World!" using the LEN function.</t>
  </si>
  <si>
    <t>5. Create a formula to extract the middle 6 characters from "12345-67890-ABCDE".</t>
  </si>
  <si>
    <t>Hello World!</t>
  </si>
  <si>
    <t>12345-67890-ABCDE</t>
  </si>
  <si>
    <t>Q7</t>
  </si>
  <si>
    <t>Understand how to combine text using CONCAT, TEXTJOIN, and the &amp; operator.</t>
  </si>
  <si>
    <t>1. Use CONCAT to combine "Hello" and "World" with a space in between.</t>
  </si>
  <si>
    <t>"Hello"</t>
  </si>
  <si>
    <t>"World"</t>
  </si>
  <si>
    <t>2. Combine "Apple", "Banana", and "Cherry" into a single string separated by commas using TEXTJOIN.</t>
  </si>
  <si>
    <t>"Apple"</t>
  </si>
  <si>
    <t>"Banana"</t>
  </si>
  <si>
    <t>"Cherry"</t>
  </si>
  <si>
    <t>3. Use the &amp; operator to create the string'' 2025:Excel funcion", by combining "2025",":",and "Excel Functions"</t>
  </si>
  <si>
    <t>"2025"</t>
  </si>
  <si>
    <t>":"</t>
  </si>
  <si>
    <t>"Excel"</t>
  </si>
  <si>
    <t>4. Create a comma-separated list from the range A1:A5 using TEXTJOIN</t>
  </si>
  <si>
    <t>5. Combine first names in column A with last names in column B to create full names in column C.</t>
  </si>
  <si>
    <t>Name</t>
  </si>
  <si>
    <t>Joseph</t>
  </si>
  <si>
    <t>gallio</t>
  </si>
  <si>
    <t>george</t>
  </si>
  <si>
    <t>kusiya</t>
  </si>
  <si>
    <t>lewis</t>
  </si>
  <si>
    <t>Surname</t>
  </si>
  <si>
    <t>plum</t>
  </si>
  <si>
    <t>cukes</t>
  </si>
  <si>
    <t>mathe</t>
  </si>
  <si>
    <t>matte</t>
  </si>
  <si>
    <t>Combine name</t>
  </si>
  <si>
    <t>Q8</t>
  </si>
  <si>
    <t>Understanding TODAY() and NOW()</t>
  </si>
  <si>
    <r>
      <rPr>
        <b/>
        <sz val="11"/>
        <color theme="1"/>
        <rFont val="Calibri"/>
        <family val="2"/>
        <scheme val="minor"/>
      </rPr>
      <t>1. Difference between TODAY() and NOW() in excel? Provide an example when you use these function</t>
    </r>
    <r>
      <rPr>
        <sz val="11"/>
        <color theme="1"/>
        <rFont val="Calibri"/>
        <family val="2"/>
        <scheme val="minor"/>
      </rPr>
      <t>.</t>
    </r>
  </si>
  <si>
    <t>TODAY()</t>
  </si>
  <si>
    <t>Returns only current date</t>
  </si>
  <si>
    <t>NOW()</t>
  </si>
  <si>
    <t>Returns current date + current time</t>
  </si>
  <si>
    <t>2. If cell A1 contains the date 2025-06-10, write a formulas using TODAY() to determine how many days are left until till date.</t>
  </si>
  <si>
    <t>3. Write an excel formula using NOW() to display the current date and time in the format DD/MM/YYYY</t>
  </si>
  <si>
    <t>HH:MM AM/PM.</t>
  </si>
  <si>
    <t>4. If a cell conatins =TODAY(),what will happen whwn the worksheet is reopened the next day? Explain.</t>
  </si>
  <si>
    <t>Data will automatic update to new current date because TODAY() is a dynamic function.</t>
  </si>
  <si>
    <t>5. You want to tore a static date (today's date)  in a cell without it changing every day. What keyword shortcut will use</t>
  </si>
  <si>
    <t>ctrl+;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</si>
</sst>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wrapText="1"/>
    </xf>
    <xf numFmtId="22" fontId="0" fillId="2" borderId="0" xfId="0" applyNumberFormat="1" applyFill="1"/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5:C10" totalsRowShown="0" headerRowDxfId="18" dataDxfId="17">
  <autoFilter ref="A5:C10"/>
  <sortState ref="A6:C10">
    <sortCondition ref="B6:B10"/>
    <sortCondition descending="1" ref="C6:C10"/>
  </sortState>
  <tableColumns count="3">
    <tableColumn id="1" name="Column1" dataDxfId="16"/>
    <tableColumn id="2" name="Column2" dataDxfId="15"/>
    <tableColumn id="3" name="Column3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C9" totalsRowShown="0" dataDxfId="13">
  <autoFilter ref="A4:C9"/>
  <tableColumns count="3">
    <tableColumn id="1" name="Column1" dataDxfId="12"/>
    <tableColumn id="2" name="Column2" dataDxfId="11"/>
    <tableColumn id="3" name="Column3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A4:C9" totalsRowShown="0" dataDxfId="9">
  <autoFilter ref="A4:C9"/>
  <tableColumns count="3">
    <tableColumn id="1" name="Column1" dataDxfId="8"/>
    <tableColumn id="2" name="Column2" dataDxfId="7"/>
    <tableColumn id="3" name="Column3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E16" totalsRowShown="0" dataDxfId="5">
  <autoFilter ref="A5:E16"/>
  <tableColumns count="5">
    <tableColumn id="1" name="Column1" dataDxfId="4"/>
    <tableColumn id="2" name="Column2" dataDxfId="3"/>
    <tableColumn id="3" name="Column3" dataDxfId="2"/>
    <tableColumn id="4" name="Column4" dataDxfId="1"/>
    <tableColumn id="5" name="Column5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4:C30" totalsRowShown="0">
  <autoFilter ref="A24:C30"/>
  <tableColumns count="3">
    <tableColumn id="1" name="Column1"/>
    <tableColumn id="2" name="Column2"/>
    <tableColumn id="3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H11" sqref="H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1</v>
      </c>
    </row>
    <row r="5" spans="1:1" ht="18" x14ac:dyDescent="0.25">
      <c r="A5" s="2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20</v>
      </c>
    </row>
    <row r="12" spans="1:1" x14ac:dyDescent="0.25">
      <c r="A12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 t="s">
        <v>19</v>
      </c>
    </row>
    <row r="19" spans="1:1" x14ac:dyDescent="0.25">
      <c r="A19" s="4" t="s">
        <v>21</v>
      </c>
    </row>
    <row r="20" spans="1:1" x14ac:dyDescent="0.25">
      <c r="A20" s="3" t="s">
        <v>13</v>
      </c>
    </row>
    <row r="21" spans="1:1" x14ac:dyDescent="0.25">
      <c r="A21" s="3" t="s">
        <v>14</v>
      </c>
    </row>
    <row r="22" spans="1:1" x14ac:dyDescent="0.25">
      <c r="A22" s="3" t="s">
        <v>15</v>
      </c>
    </row>
    <row r="23" spans="1:1" x14ac:dyDescent="0.25">
      <c r="A23" s="3" t="s">
        <v>16</v>
      </c>
    </row>
    <row r="24" spans="1:1" x14ac:dyDescent="0.25">
      <c r="A24" s="3" t="s">
        <v>17</v>
      </c>
    </row>
    <row r="25" spans="1:1" x14ac:dyDescent="0.25">
      <c r="A25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2" sqref="A2"/>
    </sheetView>
  </sheetViews>
  <sheetFormatPr defaultRowHeight="15" x14ac:dyDescent="0.25"/>
  <cols>
    <col min="1" max="1" width="11" customWidth="1"/>
    <col min="2" max="2" width="11.7109375" bestFit="1" customWidth="1"/>
    <col min="3" max="3" width="11" customWidth="1"/>
  </cols>
  <sheetData>
    <row r="1" spans="1:4" x14ac:dyDescent="0.25">
      <c r="A1" s="6" t="s">
        <v>22</v>
      </c>
      <c r="B1" s="5"/>
      <c r="C1" s="5"/>
      <c r="D1" s="5"/>
    </row>
    <row r="2" spans="1:4" x14ac:dyDescent="0.25">
      <c r="A2" s="5" t="s">
        <v>23</v>
      </c>
      <c r="B2" s="5"/>
      <c r="C2" s="5"/>
      <c r="D2" s="5"/>
    </row>
    <row r="3" spans="1:4" x14ac:dyDescent="0.25">
      <c r="A3" s="5" t="s">
        <v>24</v>
      </c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5" t="s">
        <v>33</v>
      </c>
      <c r="B5" s="5" t="s">
        <v>34</v>
      </c>
      <c r="C5" s="5" t="s">
        <v>35</v>
      </c>
      <c r="D5" s="5"/>
    </row>
    <row r="6" spans="1:4" x14ac:dyDescent="0.25">
      <c r="A6" s="5" t="s">
        <v>25</v>
      </c>
      <c r="B6" s="5" t="s">
        <v>26</v>
      </c>
      <c r="C6" s="5" t="s">
        <v>27</v>
      </c>
      <c r="D6" s="5"/>
    </row>
    <row r="7" spans="1:4" x14ac:dyDescent="0.25">
      <c r="A7" s="5" t="s">
        <v>29</v>
      </c>
      <c r="B7" s="5" t="s">
        <v>32</v>
      </c>
      <c r="C7" s="5">
        <v>5000</v>
      </c>
      <c r="D7" s="5"/>
    </row>
    <row r="8" spans="1:4" x14ac:dyDescent="0.25">
      <c r="A8" s="5" t="s">
        <v>28</v>
      </c>
      <c r="B8" s="5" t="s">
        <v>31</v>
      </c>
      <c r="C8" s="5">
        <v>4000</v>
      </c>
      <c r="D8" s="5"/>
    </row>
    <row r="9" spans="1:4" x14ac:dyDescent="0.25">
      <c r="A9" s="5" t="s">
        <v>30</v>
      </c>
      <c r="B9" s="5" t="s">
        <v>31</v>
      </c>
      <c r="C9" s="5">
        <v>2500</v>
      </c>
      <c r="D9" s="5"/>
    </row>
    <row r="10" spans="1:4" x14ac:dyDescent="0.25">
      <c r="A10" s="5"/>
      <c r="B10" s="5"/>
      <c r="C10" s="5"/>
    </row>
    <row r="12" spans="1:4" x14ac:dyDescent="0.25">
      <c r="A12" s="4" t="s">
        <v>36</v>
      </c>
    </row>
    <row r="13" spans="1:4" x14ac:dyDescent="0.25">
      <c r="A13" t="s">
        <v>37</v>
      </c>
    </row>
    <row r="14" spans="1:4" x14ac:dyDescent="0.25">
      <c r="A14" t="s">
        <v>38</v>
      </c>
    </row>
    <row r="15" spans="1:4" x14ac:dyDescent="0.25">
      <c r="A15" t="s">
        <v>39</v>
      </c>
    </row>
    <row r="16" spans="1:4" x14ac:dyDescent="0.25">
      <c r="A16" t="s">
        <v>40</v>
      </c>
    </row>
    <row r="17" spans="1:1" x14ac:dyDescent="0.25">
      <c r="A17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" sqref="A2"/>
    </sheetView>
  </sheetViews>
  <sheetFormatPr defaultRowHeight="15" x14ac:dyDescent="0.25"/>
  <cols>
    <col min="1" max="1" width="11" customWidth="1"/>
    <col min="2" max="2" width="11.7109375" bestFit="1" customWidth="1"/>
    <col min="3" max="3" width="11" customWidth="1"/>
  </cols>
  <sheetData>
    <row r="1" spans="1:5" x14ac:dyDescent="0.25">
      <c r="A1" t="s">
        <v>42</v>
      </c>
    </row>
    <row r="2" spans="1:5" x14ac:dyDescent="0.25">
      <c r="A2" s="1" t="s">
        <v>43</v>
      </c>
    </row>
    <row r="4" spans="1:5" x14ac:dyDescent="0.25">
      <c r="A4" t="s">
        <v>33</v>
      </c>
      <c r="B4" t="s">
        <v>34</v>
      </c>
      <c r="C4" t="s">
        <v>35</v>
      </c>
    </row>
    <row r="5" spans="1:5" x14ac:dyDescent="0.25">
      <c r="A5" s="5" t="s">
        <v>25</v>
      </c>
      <c r="B5" s="5" t="s">
        <v>26</v>
      </c>
      <c r="C5" s="5" t="s">
        <v>27</v>
      </c>
      <c r="D5" s="5"/>
    </row>
    <row r="6" spans="1:5" x14ac:dyDescent="0.25">
      <c r="A6" s="5"/>
      <c r="B6" s="5"/>
      <c r="C6" s="5"/>
      <c r="D6" s="5"/>
    </row>
    <row r="7" spans="1:5" x14ac:dyDescent="0.25">
      <c r="A7" s="5" t="s">
        <v>28</v>
      </c>
      <c r="B7" s="5" t="s">
        <v>31</v>
      </c>
      <c r="C7" s="5">
        <v>4000</v>
      </c>
      <c r="D7" s="5"/>
    </row>
    <row r="8" spans="1:5" x14ac:dyDescent="0.25">
      <c r="A8" s="5" t="s">
        <v>29</v>
      </c>
      <c r="B8" s="5" t="s">
        <v>32</v>
      </c>
      <c r="C8" s="5">
        <v>5000</v>
      </c>
      <c r="D8" s="5"/>
    </row>
    <row r="9" spans="1:5" x14ac:dyDescent="0.25">
      <c r="A9" s="5" t="s">
        <v>30</v>
      </c>
      <c r="B9" s="5" t="s">
        <v>31</v>
      </c>
      <c r="C9" s="5">
        <v>2500</v>
      </c>
      <c r="D9" s="5"/>
    </row>
    <row r="10" spans="1:5" x14ac:dyDescent="0.25">
      <c r="A10" s="5"/>
      <c r="B10" s="5"/>
      <c r="C10" s="5"/>
      <c r="D10" s="5"/>
    </row>
    <row r="11" spans="1:5" x14ac:dyDescent="0.25">
      <c r="A11" s="1" t="s">
        <v>44</v>
      </c>
      <c r="E11" s="1" t="s">
        <v>50</v>
      </c>
    </row>
    <row r="12" spans="1:5" x14ac:dyDescent="0.25">
      <c r="A12" t="s">
        <v>45</v>
      </c>
      <c r="E12" t="s">
        <v>51</v>
      </c>
    </row>
    <row r="13" spans="1:5" x14ac:dyDescent="0.25">
      <c r="A13" s="7" t="str">
        <f>TRIM(A7)</f>
        <v>Sonu</v>
      </c>
      <c r="E13" s="7" t="str">
        <f>MID(A7,2,3)</f>
        <v>onu</v>
      </c>
    </row>
    <row r="15" spans="1:5" x14ac:dyDescent="0.25">
      <c r="A15" s="1" t="s">
        <v>46</v>
      </c>
      <c r="E15" s="1" t="s">
        <v>52</v>
      </c>
    </row>
    <row r="16" spans="1:5" x14ac:dyDescent="0.25">
      <c r="A16" t="s">
        <v>47</v>
      </c>
      <c r="E16" t="s">
        <v>53</v>
      </c>
    </row>
    <row r="17" spans="1:5" x14ac:dyDescent="0.25">
      <c r="A17" s="7" t="str">
        <f>LEFT(A7,3)</f>
        <v>Son</v>
      </c>
      <c r="E17" s="7" t="str">
        <f>CONCATENATE(A7," ",B7)</f>
        <v>Sonu IT</v>
      </c>
    </row>
    <row r="19" spans="1:5" x14ac:dyDescent="0.25">
      <c r="A19" s="1" t="s">
        <v>48</v>
      </c>
    </row>
    <row r="20" spans="1:5" x14ac:dyDescent="0.25">
      <c r="A20" t="s">
        <v>49</v>
      </c>
    </row>
    <row r="21" spans="1:5" x14ac:dyDescent="0.25">
      <c r="A21" s="7" t="str">
        <f>RIGHT(A7,3)</f>
        <v>onu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6" workbookViewId="0">
      <selection activeCell="A28" sqref="A28"/>
    </sheetView>
  </sheetViews>
  <sheetFormatPr defaultRowHeight="15" x14ac:dyDescent="0.25"/>
  <cols>
    <col min="1" max="1" width="10.42578125" bestFit="1" customWidth="1"/>
    <col min="2" max="2" width="11.7109375" bestFit="1" customWidth="1"/>
  </cols>
  <sheetData>
    <row r="1" spans="1:3" x14ac:dyDescent="0.25">
      <c r="A1" t="s">
        <v>54</v>
      </c>
    </row>
    <row r="2" spans="1:3" x14ac:dyDescent="0.25">
      <c r="A2" s="1" t="s">
        <v>55</v>
      </c>
    </row>
    <row r="4" spans="1:3" x14ac:dyDescent="0.25">
      <c r="A4" t="s">
        <v>33</v>
      </c>
      <c r="B4" t="s">
        <v>34</v>
      </c>
      <c r="C4" t="s">
        <v>35</v>
      </c>
    </row>
    <row r="5" spans="1:3" x14ac:dyDescent="0.25">
      <c r="A5" s="5" t="s">
        <v>25</v>
      </c>
      <c r="B5" s="5" t="s">
        <v>26</v>
      </c>
      <c r="C5" s="5" t="s">
        <v>27</v>
      </c>
    </row>
    <row r="6" spans="1:3" x14ac:dyDescent="0.25">
      <c r="A6" s="5"/>
      <c r="B6" s="5"/>
      <c r="C6" s="5"/>
    </row>
    <row r="7" spans="1:3" x14ac:dyDescent="0.25">
      <c r="A7" s="5" t="s">
        <v>28</v>
      </c>
      <c r="B7" s="5" t="s">
        <v>31</v>
      </c>
      <c r="C7" s="5">
        <v>4000</v>
      </c>
    </row>
    <row r="8" spans="1:3" x14ac:dyDescent="0.25">
      <c r="A8" s="5" t="s">
        <v>29</v>
      </c>
      <c r="B8" s="5" t="s">
        <v>32</v>
      </c>
      <c r="C8" s="5">
        <v>5000</v>
      </c>
    </row>
    <row r="9" spans="1:3" x14ac:dyDescent="0.25">
      <c r="A9" s="5" t="s">
        <v>30</v>
      </c>
      <c r="B9" s="5" t="s">
        <v>31</v>
      </c>
      <c r="C9" s="5">
        <v>2500</v>
      </c>
    </row>
    <row r="11" spans="1:3" x14ac:dyDescent="0.25">
      <c r="A11" t="s">
        <v>56</v>
      </c>
    </row>
    <row r="12" spans="1:3" x14ac:dyDescent="0.25">
      <c r="A12" s="4" t="s">
        <v>57</v>
      </c>
    </row>
    <row r="13" spans="1:3" x14ac:dyDescent="0.25">
      <c r="A13" t="s">
        <v>58</v>
      </c>
    </row>
    <row r="14" spans="1:3" x14ac:dyDescent="0.25">
      <c r="A14" s="10" t="s">
        <v>59</v>
      </c>
    </row>
    <row r="15" spans="1:3" x14ac:dyDescent="0.25">
      <c r="A15" t="s">
        <v>60</v>
      </c>
    </row>
    <row r="16" spans="1:3" x14ac:dyDescent="0.25">
      <c r="A16" t="s">
        <v>61</v>
      </c>
    </row>
    <row r="18" spans="1:1" x14ac:dyDescent="0.25">
      <c r="A18" t="s">
        <v>62</v>
      </c>
    </row>
    <row r="19" spans="1:1" x14ac:dyDescent="0.25">
      <c r="A19" s="9">
        <f ca="1">TODAY()</f>
        <v>46004</v>
      </c>
    </row>
    <row r="21" spans="1:1" x14ac:dyDescent="0.25">
      <c r="A21" t="s">
        <v>63</v>
      </c>
    </row>
    <row r="22" spans="1:1" x14ac:dyDescent="0.25">
      <c r="A22" s="9">
        <f ca="1">TODAY()-C7</f>
        <v>42004</v>
      </c>
    </row>
    <row r="24" spans="1:1" x14ac:dyDescent="0.25">
      <c r="A24" t="s">
        <v>64</v>
      </c>
    </row>
    <row r="25" spans="1:1" x14ac:dyDescent="0.25">
      <c r="A25" s="9">
        <f ca="1">DATE(YEAR(TODAY()),MONTH(C7),DAY(C7))</f>
        <v>46004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G10" sqref="G10"/>
    </sheetView>
  </sheetViews>
  <sheetFormatPr defaultRowHeight="15" x14ac:dyDescent="0.25"/>
  <cols>
    <col min="1" max="1" width="11" customWidth="1"/>
    <col min="2" max="2" width="13.7109375" bestFit="1" customWidth="1"/>
    <col min="3" max="3" width="11.85546875" bestFit="1" customWidth="1"/>
    <col min="4" max="4" width="11" customWidth="1"/>
    <col min="5" max="5" width="11.85546875" bestFit="1" customWidth="1"/>
  </cols>
  <sheetData>
    <row r="1" spans="1:9" x14ac:dyDescent="0.25">
      <c r="A1" t="s">
        <v>65</v>
      </c>
    </row>
    <row r="2" spans="1:9" x14ac:dyDescent="0.25">
      <c r="A2" s="1" t="s">
        <v>66</v>
      </c>
    </row>
    <row r="4" spans="1:9" x14ac:dyDescent="0.25">
      <c r="A4" t="s">
        <v>24</v>
      </c>
    </row>
    <row r="5" spans="1:9" x14ac:dyDescent="0.25">
      <c r="A5" t="s">
        <v>33</v>
      </c>
      <c r="B5" t="s">
        <v>34</v>
      </c>
      <c r="C5" t="s">
        <v>35</v>
      </c>
      <c r="D5" t="s">
        <v>92</v>
      </c>
      <c r="E5" t="s">
        <v>93</v>
      </c>
    </row>
    <row r="6" spans="1:9" x14ac:dyDescent="0.25">
      <c r="A6" t="s">
        <v>68</v>
      </c>
      <c r="B6" t="s">
        <v>69</v>
      </c>
      <c r="C6" t="s">
        <v>70</v>
      </c>
      <c r="D6" s="7" t="s">
        <v>71</v>
      </c>
      <c r="E6" t="s">
        <v>72</v>
      </c>
    </row>
    <row r="7" spans="1:9" x14ac:dyDescent="0.25">
      <c r="D7" s="7"/>
    </row>
    <row r="8" spans="1:9" x14ac:dyDescent="0.25">
      <c r="A8" s="5" t="s">
        <v>73</v>
      </c>
      <c r="B8" s="5" t="s">
        <v>82</v>
      </c>
      <c r="C8" s="5" t="s">
        <v>89</v>
      </c>
      <c r="D8" s="11"/>
      <c r="E8" s="5">
        <v>81</v>
      </c>
    </row>
    <row r="9" spans="1:9" x14ac:dyDescent="0.25">
      <c r="A9" s="5" t="s">
        <v>74</v>
      </c>
      <c r="B9" s="5" t="s">
        <v>83</v>
      </c>
      <c r="C9" s="5" t="s">
        <v>89</v>
      </c>
      <c r="D9" s="11"/>
      <c r="E9" s="5">
        <v>121</v>
      </c>
    </row>
    <row r="10" spans="1:9" x14ac:dyDescent="0.25">
      <c r="A10" s="5" t="s">
        <v>75</v>
      </c>
      <c r="B10" s="5" t="s">
        <v>84</v>
      </c>
      <c r="C10" s="5" t="s">
        <v>90</v>
      </c>
      <c r="D10" s="11"/>
      <c r="E10" s="5">
        <v>239</v>
      </c>
    </row>
    <row r="11" spans="1:9" x14ac:dyDescent="0.25">
      <c r="A11" s="5" t="s">
        <v>76</v>
      </c>
      <c r="B11" s="5" t="s">
        <v>82</v>
      </c>
      <c r="C11" s="5" t="s">
        <v>89</v>
      </c>
      <c r="D11" s="11"/>
      <c r="E11" s="5">
        <v>500</v>
      </c>
    </row>
    <row r="12" spans="1:9" x14ac:dyDescent="0.25">
      <c r="A12" s="5" t="s">
        <v>78</v>
      </c>
      <c r="B12" s="5" t="s">
        <v>85</v>
      </c>
      <c r="C12" s="5" t="s">
        <v>91</v>
      </c>
      <c r="D12" s="11"/>
      <c r="E12" s="5">
        <v>423</v>
      </c>
    </row>
    <row r="13" spans="1:9" x14ac:dyDescent="0.25">
      <c r="A13" s="5" t="s">
        <v>77</v>
      </c>
      <c r="B13" s="5" t="s">
        <v>86</v>
      </c>
      <c r="C13" s="5" t="s">
        <v>89</v>
      </c>
      <c r="D13" s="11"/>
      <c r="E13" s="5">
        <v>160</v>
      </c>
      <c r="I13" t="s">
        <v>67</v>
      </c>
    </row>
    <row r="14" spans="1:9" x14ac:dyDescent="0.25">
      <c r="A14" s="5" t="s">
        <v>79</v>
      </c>
      <c r="B14" s="5" t="s">
        <v>87</v>
      </c>
      <c r="C14" s="5" t="s">
        <v>89</v>
      </c>
      <c r="D14" s="11"/>
      <c r="E14" s="5">
        <v>348</v>
      </c>
    </row>
    <row r="15" spans="1:9" x14ac:dyDescent="0.25">
      <c r="A15" s="5" t="s">
        <v>80</v>
      </c>
      <c r="B15" s="5" t="s">
        <v>87</v>
      </c>
      <c r="C15" s="5" t="s">
        <v>89</v>
      </c>
      <c r="D15" s="11"/>
      <c r="E15" s="5">
        <v>152</v>
      </c>
    </row>
    <row r="16" spans="1:9" x14ac:dyDescent="0.25">
      <c r="A16" s="5" t="s">
        <v>81</v>
      </c>
      <c r="B16" s="5" t="s">
        <v>88</v>
      </c>
      <c r="C16" s="5" t="s">
        <v>91</v>
      </c>
      <c r="D16" s="11"/>
      <c r="E16" s="5">
        <v>369</v>
      </c>
    </row>
    <row r="18" spans="1:2" x14ac:dyDescent="0.25">
      <c r="A18" s="1" t="s">
        <v>94</v>
      </c>
    </row>
    <row r="19" spans="1:2" x14ac:dyDescent="0.25">
      <c r="A19" t="s">
        <v>95</v>
      </c>
    </row>
    <row r="20" spans="1:2" x14ac:dyDescent="0.25">
      <c r="A20" t="s">
        <v>96</v>
      </c>
    </row>
    <row r="21" spans="1:2" x14ac:dyDescent="0.25">
      <c r="A21" t="s">
        <v>97</v>
      </c>
    </row>
    <row r="22" spans="1:2" x14ac:dyDescent="0.25">
      <c r="B22" t="s">
        <v>98</v>
      </c>
    </row>
    <row r="23" spans="1:2" x14ac:dyDescent="0.25">
      <c r="B23" t="s">
        <v>99</v>
      </c>
    </row>
    <row r="24" spans="1:2" x14ac:dyDescent="0.25">
      <c r="B24" t="s">
        <v>100</v>
      </c>
    </row>
    <row r="25" spans="1:2" x14ac:dyDescent="0.25">
      <c r="B25" t="s">
        <v>101</v>
      </c>
    </row>
    <row r="27" spans="1:2" x14ac:dyDescent="0.25">
      <c r="A27" s="1" t="s">
        <v>102</v>
      </c>
    </row>
    <row r="28" spans="1:2" x14ac:dyDescent="0.25">
      <c r="A28" t="s">
        <v>105</v>
      </c>
    </row>
    <row r="29" spans="1:2" x14ac:dyDescent="0.25">
      <c r="A29" t="s">
        <v>106</v>
      </c>
    </row>
    <row r="31" spans="1:2" x14ac:dyDescent="0.25">
      <c r="A31" s="1" t="s">
        <v>107</v>
      </c>
    </row>
    <row r="32" spans="1:2" x14ac:dyDescent="0.25">
      <c r="A32" t="s">
        <v>108</v>
      </c>
    </row>
    <row r="33" spans="1:1" x14ac:dyDescent="0.25">
      <c r="A33" s="7" t="b">
        <f>AND(D8&gt;=1,D8&lt;=10)</f>
        <v>0</v>
      </c>
    </row>
    <row r="34" spans="1:1" x14ac:dyDescent="0.25">
      <c r="A34" t="s">
        <v>103</v>
      </c>
    </row>
    <row r="35" spans="1:1" x14ac:dyDescent="0.25">
      <c r="A35" t="s">
        <v>104</v>
      </c>
    </row>
  </sheetData>
  <dataValidations count="1">
    <dataValidation type="whole" allowBlank="1" showInputMessage="1" showErrorMessage="1" sqref="D6:D16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J23" sqref="J23"/>
    </sheetView>
  </sheetViews>
  <sheetFormatPr defaultRowHeight="15" x14ac:dyDescent="0.25"/>
  <cols>
    <col min="11" max="11" width="19.5703125" bestFit="1" customWidth="1"/>
  </cols>
  <sheetData>
    <row r="1" spans="1:11" x14ac:dyDescent="0.25">
      <c r="A1" t="s">
        <v>109</v>
      </c>
    </row>
    <row r="2" spans="1:11" x14ac:dyDescent="0.25">
      <c r="A2" s="1" t="s">
        <v>110</v>
      </c>
    </row>
    <row r="4" spans="1:11" x14ac:dyDescent="0.25">
      <c r="A4" s="1" t="s">
        <v>111</v>
      </c>
      <c r="K4" s="13" t="s">
        <v>112</v>
      </c>
    </row>
    <row r="5" spans="1:11" x14ac:dyDescent="0.25">
      <c r="A5" s="11" t="str">
        <f>LEFT(K4,5)</f>
        <v>Excel</v>
      </c>
    </row>
    <row r="7" spans="1:11" x14ac:dyDescent="0.25">
      <c r="A7" s="1" t="s">
        <v>113</v>
      </c>
    </row>
    <row r="8" spans="1:11" x14ac:dyDescent="0.25">
      <c r="A8" s="11" t="str">
        <f>RIGHT(K4,4)</f>
        <v>reat</v>
      </c>
    </row>
    <row r="10" spans="1:11" x14ac:dyDescent="0.25">
      <c r="A10" s="1" t="s">
        <v>114</v>
      </c>
    </row>
    <row r="11" spans="1:11" x14ac:dyDescent="0.25">
      <c r="A11" s="11" t="str">
        <f>MID(K4,6,4)</f>
        <v>Tips</v>
      </c>
    </row>
    <row r="13" spans="1:11" x14ac:dyDescent="0.25">
      <c r="A13" s="1" t="s">
        <v>115</v>
      </c>
      <c r="K13" s="13" t="s">
        <v>117</v>
      </c>
    </row>
    <row r="14" spans="1:11" x14ac:dyDescent="0.25">
      <c r="A14" s="11">
        <f>LEN(K13)</f>
        <v>12</v>
      </c>
    </row>
    <row r="16" spans="1:11" x14ac:dyDescent="0.25">
      <c r="A16" s="1" t="s">
        <v>116</v>
      </c>
      <c r="K16" s="12" t="s">
        <v>118</v>
      </c>
    </row>
    <row r="17" spans="1:1" x14ac:dyDescent="0.25">
      <c r="A17" s="11" t="str">
        <f>MID(K16,5,6)</f>
        <v>5-6789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A2" sqref="A2"/>
    </sheetView>
  </sheetViews>
  <sheetFormatPr defaultRowHeight="15" x14ac:dyDescent="0.25"/>
  <cols>
    <col min="1" max="1" width="11" customWidth="1"/>
    <col min="2" max="2" width="25" bestFit="1" customWidth="1"/>
    <col min="3" max="3" width="14.5703125" bestFit="1" customWidth="1"/>
  </cols>
  <sheetData>
    <row r="1" spans="1:4" x14ac:dyDescent="0.25">
      <c r="A1" t="s">
        <v>119</v>
      </c>
    </row>
    <row r="2" spans="1:4" x14ac:dyDescent="0.25">
      <c r="A2" s="1" t="s">
        <v>120</v>
      </c>
    </row>
    <row r="4" spans="1:4" x14ac:dyDescent="0.25">
      <c r="A4" s="1" t="s">
        <v>121</v>
      </c>
    </row>
    <row r="6" spans="1:4" x14ac:dyDescent="0.25">
      <c r="B6" t="s">
        <v>122</v>
      </c>
      <c r="C6" t="s">
        <v>123</v>
      </c>
    </row>
    <row r="7" spans="1:4" x14ac:dyDescent="0.25">
      <c r="B7" s="7" t="str">
        <f>CONCATENATE(B6," ",C6)</f>
        <v>"Hello" "World"</v>
      </c>
    </row>
    <row r="9" spans="1:4" x14ac:dyDescent="0.25">
      <c r="A9" s="1" t="s">
        <v>124</v>
      </c>
    </row>
    <row r="11" spans="1:4" x14ac:dyDescent="0.25">
      <c r="B11" t="s">
        <v>125</v>
      </c>
      <c r="C11" t="s">
        <v>126</v>
      </c>
      <c r="D11" t="s">
        <v>127</v>
      </c>
    </row>
    <row r="12" spans="1:4" x14ac:dyDescent="0.25">
      <c r="B12" s="7" t="str">
        <f>B11&amp;" "&amp;C11&amp;" "&amp;D11</f>
        <v>"Apple" "Banana" "Cherry"</v>
      </c>
    </row>
    <row r="14" spans="1:4" x14ac:dyDescent="0.25">
      <c r="A14" s="1" t="s">
        <v>128</v>
      </c>
    </row>
    <row r="16" spans="1:4" x14ac:dyDescent="0.25">
      <c r="B16" t="s">
        <v>129</v>
      </c>
      <c r="C16" t="s">
        <v>130</v>
      </c>
      <c r="D16" t="s">
        <v>131</v>
      </c>
    </row>
    <row r="17" spans="1:3" x14ac:dyDescent="0.25">
      <c r="B17" s="7" t="str">
        <f>B16&amp;C16&amp;D16</f>
        <v>"2025"":""Excel"</v>
      </c>
    </row>
    <row r="19" spans="1:3" x14ac:dyDescent="0.25">
      <c r="A19" s="1" t="s">
        <v>132</v>
      </c>
    </row>
    <row r="21" spans="1:3" x14ac:dyDescent="0.25">
      <c r="A21" s="1" t="s">
        <v>133</v>
      </c>
    </row>
    <row r="24" spans="1:3" x14ac:dyDescent="0.25">
      <c r="A24" t="s">
        <v>33</v>
      </c>
      <c r="B24" t="s">
        <v>34</v>
      </c>
      <c r="C24" t="s">
        <v>35</v>
      </c>
    </row>
    <row r="25" spans="1:3" x14ac:dyDescent="0.25">
      <c r="A25" s="1" t="s">
        <v>134</v>
      </c>
      <c r="B25" s="1" t="s">
        <v>140</v>
      </c>
      <c r="C25" s="1" t="s">
        <v>145</v>
      </c>
    </row>
    <row r="26" spans="1:3" x14ac:dyDescent="0.25">
      <c r="A26" t="s">
        <v>135</v>
      </c>
      <c r="B26" t="s">
        <v>137</v>
      </c>
      <c r="C26" s="7" t="str">
        <f>Table5[[#This Row],[Column1]]&amp;" "&amp;Table5[[#This Row],[Column2]]</f>
        <v>Joseph george</v>
      </c>
    </row>
    <row r="27" spans="1:3" x14ac:dyDescent="0.25">
      <c r="A27" t="s">
        <v>136</v>
      </c>
      <c r="B27" t="s">
        <v>141</v>
      </c>
      <c r="C27" s="7" t="str">
        <f>Table5[[#This Row],[Column1]]&amp;" "&amp;Table5[[#This Row],[Column2]]</f>
        <v>gallio plum</v>
      </c>
    </row>
    <row r="28" spans="1:3" x14ac:dyDescent="0.25">
      <c r="A28" t="s">
        <v>137</v>
      </c>
      <c r="B28" t="s">
        <v>142</v>
      </c>
      <c r="C28" s="7" t="str">
        <f>Table5[[#This Row],[Column1]]&amp;" "&amp;Table5[[#This Row],[Column2]]</f>
        <v>george cukes</v>
      </c>
    </row>
    <row r="29" spans="1:3" x14ac:dyDescent="0.25">
      <c r="A29" t="s">
        <v>138</v>
      </c>
      <c r="B29" t="s">
        <v>143</v>
      </c>
      <c r="C29" s="7" t="str">
        <f>Table5[[#This Row],[Column1]]&amp;" "&amp;Table5[[#This Row],[Column2]]</f>
        <v>kusiya mathe</v>
      </c>
    </row>
    <row r="30" spans="1:3" x14ac:dyDescent="0.25">
      <c r="A30" t="s">
        <v>139</v>
      </c>
      <c r="B30" t="s">
        <v>144</v>
      </c>
      <c r="C30" s="7" t="str">
        <f>Table5[[#This Row],[Column1]]&amp;" "&amp;Table5[[#This Row],[Column2]]</f>
        <v>lewis matte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E1" sqref="E1"/>
    </sheetView>
  </sheetViews>
  <sheetFormatPr defaultRowHeight="15" x14ac:dyDescent="0.25"/>
  <cols>
    <col min="1" max="1" width="15.5703125" bestFit="1" customWidth="1"/>
    <col min="3" max="3" width="10.42578125" bestFit="1" customWidth="1"/>
  </cols>
  <sheetData>
    <row r="1" spans="1:5" x14ac:dyDescent="0.25">
      <c r="A1" t="s">
        <v>146</v>
      </c>
    </row>
    <row r="2" spans="1:5" x14ac:dyDescent="0.25">
      <c r="A2" s="1" t="s">
        <v>147</v>
      </c>
    </row>
    <row r="4" spans="1:5" x14ac:dyDescent="0.25">
      <c r="A4" t="s">
        <v>148</v>
      </c>
    </row>
    <row r="5" spans="1:5" x14ac:dyDescent="0.25">
      <c r="A5" s="1" t="s">
        <v>149</v>
      </c>
    </row>
    <row r="6" spans="1:5" x14ac:dyDescent="0.25">
      <c r="A6" t="s">
        <v>150</v>
      </c>
    </row>
    <row r="7" spans="1:5" x14ac:dyDescent="0.25">
      <c r="A7" s="16">
        <f ca="1">TODAY()</f>
        <v>46004</v>
      </c>
    </row>
    <row r="8" spans="1:5" x14ac:dyDescent="0.25">
      <c r="A8" s="1" t="s">
        <v>151</v>
      </c>
    </row>
    <row r="9" spans="1:5" x14ac:dyDescent="0.25">
      <c r="A9" t="s">
        <v>152</v>
      </c>
    </row>
    <row r="10" spans="1:5" x14ac:dyDescent="0.25">
      <c r="A10" s="15">
        <f ca="1">NOW()</f>
        <v>46004.754000115739</v>
      </c>
    </row>
    <row r="12" spans="1:5" x14ac:dyDescent="0.25">
      <c r="A12" s="14"/>
    </row>
    <row r="13" spans="1:5" x14ac:dyDescent="0.25">
      <c r="A13" s="1" t="s">
        <v>153</v>
      </c>
    </row>
    <row r="14" spans="1:5" x14ac:dyDescent="0.25">
      <c r="B14" s="5">
        <v>2025</v>
      </c>
      <c r="C14" s="5">
        <v>6</v>
      </c>
      <c r="D14" s="5">
        <v>10</v>
      </c>
    </row>
    <row r="15" spans="1:5" x14ac:dyDescent="0.25">
      <c r="A15" s="11">
        <f ca="1">DATE(B14,C14,D14)-TODAY()</f>
        <v>-186</v>
      </c>
      <c r="C15" s="17"/>
      <c r="D15" s="5"/>
      <c r="E15" s="5"/>
    </row>
    <row r="16" spans="1:5" x14ac:dyDescent="0.25">
      <c r="A16" s="8"/>
    </row>
    <row r="17" spans="1:8" x14ac:dyDescent="0.25">
      <c r="A17" s="1" t="s">
        <v>154</v>
      </c>
    </row>
    <row r="18" spans="1:8" x14ac:dyDescent="0.25">
      <c r="A18" s="1" t="s">
        <v>155</v>
      </c>
    </row>
    <row r="19" spans="1:8" x14ac:dyDescent="0.25">
      <c r="A19" s="7" t="str">
        <f ca="1">TEXT(NOW(),"mm/dd/yyyy hh:mm AM/Pm")</f>
        <v>12/13/2025 06:05 PM</v>
      </c>
    </row>
    <row r="21" spans="1:8" x14ac:dyDescent="0.25">
      <c r="A21" s="1" t="s">
        <v>156</v>
      </c>
    </row>
    <row r="22" spans="1:8" x14ac:dyDescent="0.25">
      <c r="A22" s="18" t="s">
        <v>157</v>
      </c>
      <c r="B22" s="7"/>
      <c r="C22" s="7"/>
      <c r="D22" s="7"/>
      <c r="E22" s="7"/>
      <c r="F22" s="7"/>
      <c r="G22" s="7"/>
      <c r="H22" s="7"/>
    </row>
    <row r="24" spans="1:8" x14ac:dyDescent="0.25">
      <c r="A24" s="1" t="s">
        <v>158</v>
      </c>
    </row>
    <row r="25" spans="1:8" x14ac:dyDescent="0.25">
      <c r="A25" s="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2025-12-11T14:02:25Z</dcterms:created>
  <dcterms:modified xsi:type="dcterms:W3CDTF">2025-12-13T12:35:58Z</dcterms:modified>
</cp:coreProperties>
</file>