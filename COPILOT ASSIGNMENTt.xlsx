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4.xml" ContentType="application/vnd.openxmlformats-officedocument.spreadsheetml.table+xml"/>
  <Override PartName="/xl/pivotTables/pivotTable1.xml" ContentType="application/vnd.openxmlformats-officedocument.spreadsheetml.pivot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2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chal\Downloads\"/>
    </mc:Choice>
  </mc:AlternateContent>
  <xr:revisionPtr revIDLastSave="0" documentId="8_{F861FEDC-6DA2-449C-8E37-21D9BE41D5CA}" xr6:coauthVersionLast="47" xr6:coauthVersionMax="47" xr10:uidLastSave="{00000000-0000-0000-0000-000000000000}"/>
  <bookViews>
    <workbookView xWindow="-108" yWindow="-108" windowWidth="23256" windowHeight="12456" firstSheet="3" activeTab="5" xr2:uid="{D8BE286B-173F-452F-85E2-52A9D022E28C}"/>
  </bookViews>
  <sheets>
    <sheet name="DATASET" sheetId="1" r:id="rId1"/>
    <sheet name="Answer 1" sheetId="2" r:id="rId2"/>
    <sheet name="Answer 2" sheetId="4" r:id="rId3"/>
    <sheet name="Answer 2(a)" sheetId="27" r:id="rId4"/>
    <sheet name="Answer 3" sheetId="6" r:id="rId5"/>
    <sheet name="Answer 4" sheetId="7" r:id="rId6"/>
    <sheet name="Answer 5" sheetId="8" r:id="rId7"/>
    <sheet name="Answer 6" sheetId="9" r:id="rId8"/>
    <sheet name="Answer 6(a)" sheetId="10" r:id="rId9"/>
    <sheet name="Answer 6(b)" sheetId="11" r:id="rId10"/>
    <sheet name="Answer 6(c)" sheetId="12" r:id="rId11"/>
    <sheet name="Answer 6(d)" sheetId="13" r:id="rId12"/>
    <sheet name="Answer Final" sheetId="15" r:id="rId13"/>
    <sheet name="Answer 7" sheetId="14" r:id="rId14"/>
    <sheet name="Pivot Table" sheetId="20" r:id="rId15"/>
    <sheet name="Brief Table" sheetId="18" r:id="rId16"/>
    <sheet name="Answer 8" sheetId="21" r:id="rId17"/>
    <sheet name="Answer 8(a)" sheetId="22" r:id="rId18"/>
    <sheet name="Answer 9" sheetId="23" r:id="rId19"/>
    <sheet name="Answer 9(a)" sheetId="24" r:id="rId20"/>
  </sheets>
  <calcPr calcId="191029"/>
  <pivotCaches>
    <pivotCache cacheId="9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7" l="1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D254" i="27"/>
  <c r="D255" i="27"/>
  <c r="D256" i="27"/>
  <c r="D257" i="27"/>
  <c r="D258" i="27"/>
  <c r="D259" i="27"/>
  <c r="D260" i="27"/>
  <c r="D261" i="27"/>
  <c r="D262" i="27"/>
  <c r="D263" i="27"/>
  <c r="D264" i="27"/>
  <c r="D265" i="27"/>
  <c r="D266" i="27"/>
  <c r="D267" i="27"/>
  <c r="D268" i="27"/>
  <c r="D269" i="27"/>
  <c r="D270" i="27"/>
  <c r="D271" i="27"/>
  <c r="D272" i="27"/>
  <c r="D273" i="27"/>
  <c r="D274" i="27"/>
  <c r="D275" i="27"/>
  <c r="D276" i="27"/>
  <c r="D277" i="27"/>
  <c r="D278" i="27"/>
  <c r="D279" i="27"/>
  <c r="D280" i="27"/>
  <c r="D281" i="27"/>
  <c r="D282" i="27"/>
  <c r="D283" i="27"/>
  <c r="D284" i="27"/>
  <c r="D285" i="27"/>
  <c r="D286" i="27"/>
  <c r="D287" i="27"/>
  <c r="D288" i="27"/>
  <c r="D289" i="27"/>
  <c r="D290" i="27"/>
  <c r="D291" i="27"/>
  <c r="D292" i="27"/>
  <c r="D293" i="27"/>
  <c r="D294" i="27"/>
  <c r="D295" i="27"/>
  <c r="D296" i="27"/>
  <c r="D297" i="27"/>
  <c r="D298" i="27"/>
  <c r="D299" i="27"/>
  <c r="D300" i="27"/>
  <c r="D301" i="27"/>
  <c r="D302" i="27"/>
  <c r="D303" i="27"/>
  <c r="D304" i="27"/>
  <c r="D305" i="27"/>
  <c r="D306" i="27"/>
  <c r="D307" i="27"/>
  <c r="D308" i="27"/>
  <c r="D309" i="27"/>
  <c r="D310" i="27"/>
  <c r="D311" i="27"/>
  <c r="D312" i="27"/>
  <c r="D313" i="27"/>
  <c r="D314" i="27"/>
  <c r="D315" i="27"/>
  <c r="D316" i="27"/>
  <c r="D317" i="27"/>
  <c r="D318" i="27"/>
  <c r="D319" i="27"/>
  <c r="D320" i="27"/>
  <c r="D321" i="27"/>
  <c r="D322" i="27"/>
  <c r="D323" i="27"/>
  <c r="D324" i="27"/>
  <c r="D325" i="27"/>
  <c r="D326" i="27"/>
  <c r="D327" i="27"/>
  <c r="D328" i="27"/>
  <c r="D329" i="27"/>
  <c r="D330" i="27"/>
  <c r="D331" i="27"/>
  <c r="D332" i="27"/>
  <c r="D333" i="27"/>
  <c r="D334" i="27"/>
  <c r="D335" i="27"/>
  <c r="D336" i="27"/>
  <c r="D337" i="27"/>
  <c r="D338" i="27"/>
  <c r="D339" i="27"/>
  <c r="D340" i="27"/>
  <c r="D341" i="27"/>
  <c r="D342" i="27"/>
  <c r="D343" i="27"/>
  <c r="D344" i="27"/>
  <c r="D345" i="27"/>
  <c r="D346" i="27"/>
  <c r="D347" i="27"/>
  <c r="D348" i="27"/>
  <c r="D349" i="27"/>
  <c r="D350" i="27"/>
  <c r="D351" i="27"/>
  <c r="D352" i="27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60" i="27"/>
  <c r="C161" i="27"/>
  <c r="C162" i="27"/>
  <c r="C163" i="27"/>
  <c r="C164" i="27"/>
  <c r="C165" i="27"/>
  <c r="C166" i="27"/>
  <c r="C167" i="27"/>
  <c r="C168" i="27"/>
  <c r="C169" i="27"/>
  <c r="C170" i="27"/>
  <c r="C171" i="27"/>
  <c r="C172" i="27"/>
  <c r="C173" i="27"/>
  <c r="C174" i="27"/>
  <c r="C175" i="27"/>
  <c r="C176" i="27"/>
  <c r="C177" i="27"/>
  <c r="C178" i="27"/>
  <c r="C179" i="27"/>
  <c r="C180" i="27"/>
  <c r="C181" i="27"/>
  <c r="C182" i="27"/>
  <c r="C183" i="27"/>
  <c r="C184" i="27"/>
  <c r="C185" i="27"/>
  <c r="C186" i="27"/>
  <c r="C187" i="27"/>
  <c r="C188" i="27"/>
  <c r="C189" i="27"/>
  <c r="C190" i="27"/>
  <c r="C191" i="27"/>
  <c r="C192" i="27"/>
  <c r="C193" i="27"/>
  <c r="C194" i="27"/>
  <c r="C195" i="27"/>
  <c r="C196" i="27"/>
  <c r="C197" i="27"/>
  <c r="C198" i="27"/>
  <c r="C199" i="27"/>
  <c r="C200" i="27"/>
  <c r="C201" i="27"/>
  <c r="C202" i="27"/>
  <c r="C203" i="27"/>
  <c r="C204" i="27"/>
  <c r="C205" i="27"/>
  <c r="C206" i="27"/>
  <c r="C207" i="27"/>
  <c r="C208" i="27"/>
  <c r="C209" i="27"/>
  <c r="C210" i="27"/>
  <c r="C211" i="27"/>
  <c r="C212" i="27"/>
  <c r="C213" i="27"/>
  <c r="C214" i="27"/>
  <c r="C215" i="27"/>
  <c r="C216" i="27"/>
  <c r="C217" i="27"/>
  <c r="C218" i="27"/>
  <c r="C219" i="27"/>
  <c r="C220" i="27"/>
  <c r="C221" i="27"/>
  <c r="C222" i="27"/>
  <c r="C223" i="27"/>
  <c r="C224" i="27"/>
  <c r="C225" i="27"/>
  <c r="C226" i="27"/>
  <c r="C227" i="27"/>
  <c r="C228" i="27"/>
  <c r="C229" i="27"/>
  <c r="C230" i="27"/>
  <c r="C231" i="27"/>
  <c r="C232" i="27"/>
  <c r="C233" i="27"/>
  <c r="C234" i="27"/>
  <c r="C235" i="27"/>
  <c r="C236" i="27"/>
  <c r="C237" i="27"/>
  <c r="C238" i="27"/>
  <c r="C239" i="27"/>
  <c r="C240" i="27"/>
  <c r="C241" i="27"/>
  <c r="C242" i="27"/>
  <c r="C243" i="27"/>
  <c r="C244" i="27"/>
  <c r="C245" i="27"/>
  <c r="C246" i="27"/>
  <c r="C247" i="27"/>
  <c r="C248" i="27"/>
  <c r="C249" i="27"/>
  <c r="C250" i="27"/>
  <c r="C251" i="27"/>
  <c r="C252" i="27"/>
  <c r="C253" i="27"/>
  <c r="C254" i="27"/>
  <c r="C255" i="27"/>
  <c r="C256" i="27"/>
  <c r="C257" i="27"/>
  <c r="C258" i="27"/>
  <c r="C259" i="27"/>
  <c r="C260" i="27"/>
  <c r="C261" i="27"/>
  <c r="C262" i="27"/>
  <c r="C263" i="27"/>
  <c r="C264" i="27"/>
  <c r="C265" i="27"/>
  <c r="C266" i="27"/>
  <c r="C267" i="27"/>
  <c r="C268" i="27"/>
  <c r="C269" i="27"/>
  <c r="C270" i="27"/>
  <c r="C271" i="27"/>
  <c r="C272" i="27"/>
  <c r="C273" i="27"/>
  <c r="C274" i="27"/>
  <c r="C275" i="27"/>
  <c r="C276" i="27"/>
  <c r="C277" i="27"/>
  <c r="C278" i="27"/>
  <c r="C279" i="27"/>
  <c r="C280" i="27"/>
  <c r="C281" i="27"/>
  <c r="C282" i="27"/>
  <c r="C283" i="27"/>
  <c r="C284" i="27"/>
  <c r="C285" i="27"/>
  <c r="C286" i="27"/>
  <c r="C287" i="27"/>
  <c r="C288" i="27"/>
  <c r="C289" i="27"/>
  <c r="C290" i="27"/>
  <c r="C291" i="27"/>
  <c r="C292" i="27"/>
  <c r="C293" i="27"/>
  <c r="C294" i="27"/>
  <c r="C295" i="27"/>
  <c r="C296" i="27"/>
  <c r="C297" i="27"/>
  <c r="C298" i="27"/>
  <c r="C299" i="27"/>
  <c r="C300" i="27"/>
  <c r="C301" i="27"/>
  <c r="C302" i="27"/>
  <c r="C303" i="27"/>
  <c r="C304" i="27"/>
  <c r="C305" i="27"/>
  <c r="C306" i="27"/>
  <c r="C307" i="27"/>
  <c r="C308" i="27"/>
  <c r="C309" i="27"/>
  <c r="C310" i="27"/>
  <c r="C311" i="27"/>
  <c r="C312" i="27"/>
  <c r="C313" i="27"/>
  <c r="C314" i="27"/>
  <c r="C315" i="27"/>
  <c r="C316" i="27"/>
  <c r="C317" i="27"/>
  <c r="C318" i="27"/>
  <c r="C319" i="27"/>
  <c r="C320" i="27"/>
  <c r="C321" i="27"/>
  <c r="C322" i="27"/>
  <c r="C323" i="27"/>
  <c r="C324" i="27"/>
  <c r="C325" i="27"/>
  <c r="C326" i="27"/>
  <c r="C327" i="27"/>
  <c r="C328" i="27"/>
  <c r="C329" i="27"/>
  <c r="C330" i="27"/>
  <c r="C331" i="27"/>
  <c r="C332" i="27"/>
  <c r="C333" i="27"/>
  <c r="C334" i="27"/>
  <c r="C335" i="27"/>
  <c r="C336" i="27"/>
  <c r="C337" i="27"/>
  <c r="C338" i="27"/>
  <c r="C339" i="27"/>
  <c r="C340" i="27"/>
  <c r="C341" i="27"/>
  <c r="C342" i="27"/>
  <c r="C343" i="27"/>
  <c r="C344" i="27"/>
  <c r="C345" i="27"/>
  <c r="C346" i="27"/>
  <c r="C347" i="27"/>
  <c r="C348" i="27"/>
  <c r="C349" i="27"/>
  <c r="C350" i="27"/>
  <c r="C351" i="27"/>
  <c r="C352" i="27"/>
  <c r="K7" i="27"/>
  <c r="J7" i="27"/>
  <c r="I7" i="27"/>
  <c r="H7" i="27"/>
  <c r="G7" i="27"/>
  <c r="J3" i="27"/>
  <c r="I3" i="27"/>
  <c r="H3" i="27"/>
  <c r="G3" i="27"/>
  <c r="B367" i="2"/>
  <c r="B368" i="2"/>
  <c r="B366" i="2"/>
  <c r="B365" i="2"/>
  <c r="B364" i="2"/>
  <c r="B363" i="2"/>
  <c r="B362" i="2"/>
  <c r="B361" i="2"/>
  <c r="B360" i="2"/>
  <c r="B359" i="2"/>
  <c r="I3" i="22"/>
  <c r="H3" i="22"/>
  <c r="G3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1" i="22"/>
  <c r="D262" i="22"/>
  <c r="D263" i="22"/>
  <c r="D264" i="22"/>
  <c r="D265" i="22"/>
  <c r="D266" i="22"/>
  <c r="D267" i="22"/>
  <c r="D268" i="22"/>
  <c r="D269" i="22"/>
  <c r="D270" i="22"/>
  <c r="D271" i="22"/>
  <c r="D272" i="22"/>
  <c r="D273" i="22"/>
  <c r="D274" i="22"/>
  <c r="D275" i="22"/>
  <c r="D276" i="22"/>
  <c r="D277" i="22"/>
  <c r="D278" i="22"/>
  <c r="D279" i="22"/>
  <c r="D280" i="22"/>
  <c r="D281" i="22"/>
  <c r="D282" i="22"/>
  <c r="D283" i="22"/>
  <c r="D284" i="22"/>
  <c r="D285" i="22"/>
  <c r="D286" i="22"/>
  <c r="D287" i="22"/>
  <c r="D288" i="22"/>
  <c r="D289" i="22"/>
  <c r="D290" i="22"/>
  <c r="D291" i="22"/>
  <c r="D292" i="22"/>
  <c r="D293" i="22"/>
  <c r="D294" i="22"/>
  <c r="D295" i="22"/>
  <c r="D296" i="22"/>
  <c r="D297" i="22"/>
  <c r="D298" i="22"/>
  <c r="D299" i="22"/>
  <c r="D300" i="22"/>
  <c r="D301" i="22"/>
  <c r="D302" i="22"/>
  <c r="D303" i="22"/>
  <c r="D304" i="22"/>
  <c r="D305" i="22"/>
  <c r="D306" i="22"/>
  <c r="D307" i="22"/>
  <c r="D308" i="22"/>
  <c r="D309" i="22"/>
  <c r="D310" i="22"/>
  <c r="D311" i="22"/>
  <c r="D312" i="22"/>
  <c r="D313" i="22"/>
  <c r="D314" i="22"/>
  <c r="D315" i="22"/>
  <c r="D316" i="22"/>
  <c r="D317" i="22"/>
  <c r="D318" i="22"/>
  <c r="D319" i="22"/>
  <c r="D320" i="22"/>
  <c r="D321" i="22"/>
  <c r="D322" i="22"/>
  <c r="D323" i="22"/>
  <c r="D324" i="22"/>
  <c r="D325" i="22"/>
  <c r="D326" i="22"/>
  <c r="D327" i="22"/>
  <c r="D328" i="22"/>
  <c r="D329" i="22"/>
  <c r="D330" i="22"/>
  <c r="D331" i="22"/>
  <c r="D332" i="22"/>
  <c r="D333" i="22"/>
  <c r="D334" i="22"/>
  <c r="D335" i="22"/>
  <c r="D336" i="22"/>
  <c r="D337" i="22"/>
  <c r="D338" i="22"/>
  <c r="D339" i="22"/>
  <c r="D340" i="22"/>
  <c r="D341" i="22"/>
  <c r="D342" i="22"/>
  <c r="D343" i="22"/>
  <c r="D344" i="22"/>
  <c r="D345" i="22"/>
  <c r="D346" i="22"/>
  <c r="D347" i="22"/>
  <c r="D348" i="22"/>
  <c r="D349" i="22"/>
  <c r="D350" i="22"/>
  <c r="D351" i="22"/>
  <c r="D352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C124" i="22"/>
  <c r="C125" i="22"/>
  <c r="C126" i="22"/>
  <c r="C127" i="22"/>
  <c r="C128" i="22"/>
  <c r="C129" i="22"/>
  <c r="C130" i="22"/>
  <c r="C131" i="22"/>
  <c r="C132" i="22"/>
  <c r="C133" i="22"/>
  <c r="C134" i="22"/>
  <c r="C135" i="22"/>
  <c r="C136" i="22"/>
  <c r="C137" i="22"/>
  <c r="C138" i="22"/>
  <c r="C139" i="22"/>
  <c r="C140" i="22"/>
  <c r="C141" i="22"/>
  <c r="C142" i="22"/>
  <c r="C143" i="22"/>
  <c r="C144" i="22"/>
  <c r="C145" i="22"/>
  <c r="C146" i="22"/>
  <c r="C147" i="22"/>
  <c r="C148" i="22"/>
  <c r="C149" i="22"/>
  <c r="C150" i="22"/>
  <c r="C151" i="22"/>
  <c r="C152" i="22"/>
  <c r="C153" i="22"/>
  <c r="C154" i="22"/>
  <c r="C155" i="22"/>
  <c r="C156" i="22"/>
  <c r="C157" i="22"/>
  <c r="C158" i="22"/>
  <c r="C159" i="22"/>
  <c r="C160" i="22"/>
  <c r="C161" i="22"/>
  <c r="C162" i="22"/>
  <c r="C163" i="22"/>
  <c r="C164" i="22"/>
  <c r="C165" i="22"/>
  <c r="C166" i="22"/>
  <c r="C167" i="22"/>
  <c r="C168" i="22"/>
  <c r="C169" i="22"/>
  <c r="C170" i="22"/>
  <c r="C171" i="22"/>
  <c r="C172" i="22"/>
  <c r="C173" i="22"/>
  <c r="C174" i="22"/>
  <c r="C175" i="22"/>
  <c r="C176" i="22"/>
  <c r="C177" i="22"/>
  <c r="C178" i="22"/>
  <c r="C179" i="22"/>
  <c r="C180" i="22"/>
  <c r="C181" i="22"/>
  <c r="C182" i="22"/>
  <c r="C183" i="22"/>
  <c r="C184" i="22"/>
  <c r="C185" i="22"/>
  <c r="C186" i="22"/>
  <c r="C187" i="22"/>
  <c r="C188" i="22"/>
  <c r="C189" i="22"/>
  <c r="C190" i="22"/>
  <c r="C191" i="22"/>
  <c r="C192" i="22"/>
  <c r="C193" i="22"/>
  <c r="C194" i="22"/>
  <c r="C195" i="22"/>
  <c r="C196" i="22"/>
  <c r="C197" i="22"/>
  <c r="C198" i="22"/>
  <c r="C199" i="22"/>
  <c r="C200" i="22"/>
  <c r="C201" i="22"/>
  <c r="C202" i="22"/>
  <c r="C203" i="22"/>
  <c r="C204" i="22"/>
  <c r="C205" i="22"/>
  <c r="C206" i="22"/>
  <c r="C207" i="22"/>
  <c r="C208" i="22"/>
  <c r="C209" i="22"/>
  <c r="C210" i="22"/>
  <c r="C211" i="22"/>
  <c r="C212" i="22"/>
  <c r="C213" i="22"/>
  <c r="C214" i="22"/>
  <c r="C215" i="22"/>
  <c r="C216" i="22"/>
  <c r="C217" i="22"/>
  <c r="C218" i="22"/>
  <c r="C219" i="22"/>
  <c r="C220" i="22"/>
  <c r="C221" i="22"/>
  <c r="C222" i="22"/>
  <c r="C223" i="22"/>
  <c r="C224" i="22"/>
  <c r="C225" i="22"/>
  <c r="C226" i="22"/>
  <c r="C227" i="22"/>
  <c r="C228" i="22"/>
  <c r="C229" i="22"/>
  <c r="C230" i="22"/>
  <c r="C231" i="22"/>
  <c r="C232" i="22"/>
  <c r="C233" i="22"/>
  <c r="C234" i="22"/>
  <c r="C235" i="22"/>
  <c r="C236" i="22"/>
  <c r="C237" i="22"/>
  <c r="C238" i="22"/>
  <c r="C239" i="22"/>
  <c r="C240" i="22"/>
  <c r="C241" i="22"/>
  <c r="C242" i="22"/>
  <c r="C243" i="22"/>
  <c r="C244" i="22"/>
  <c r="C245" i="22"/>
  <c r="C246" i="22"/>
  <c r="C247" i="22"/>
  <c r="C248" i="22"/>
  <c r="C249" i="22"/>
  <c r="C250" i="22"/>
  <c r="C251" i="22"/>
  <c r="C252" i="22"/>
  <c r="C253" i="22"/>
  <c r="C254" i="22"/>
  <c r="C255" i="22"/>
  <c r="C256" i="22"/>
  <c r="C257" i="22"/>
  <c r="C258" i="22"/>
  <c r="C259" i="22"/>
  <c r="C260" i="22"/>
  <c r="C261" i="22"/>
  <c r="C262" i="22"/>
  <c r="C263" i="22"/>
  <c r="C264" i="22"/>
  <c r="C265" i="22"/>
  <c r="C266" i="22"/>
  <c r="C267" i="22"/>
  <c r="C268" i="22"/>
  <c r="C269" i="22"/>
  <c r="C270" i="22"/>
  <c r="C271" i="22"/>
  <c r="C272" i="22"/>
  <c r="C273" i="22"/>
  <c r="C274" i="22"/>
  <c r="C275" i="22"/>
  <c r="C276" i="22"/>
  <c r="C277" i="22"/>
  <c r="C278" i="22"/>
  <c r="C279" i="22"/>
  <c r="C280" i="22"/>
  <c r="C281" i="22"/>
  <c r="C282" i="22"/>
  <c r="C283" i="22"/>
  <c r="C284" i="22"/>
  <c r="C285" i="22"/>
  <c r="C286" i="22"/>
  <c r="C287" i="22"/>
  <c r="C288" i="22"/>
  <c r="C289" i="22"/>
  <c r="C290" i="22"/>
  <c r="C291" i="22"/>
  <c r="C292" i="22"/>
  <c r="C293" i="22"/>
  <c r="C294" i="22"/>
  <c r="C295" i="22"/>
  <c r="C296" i="22"/>
  <c r="C297" i="22"/>
  <c r="C298" i="22"/>
  <c r="C299" i="22"/>
  <c r="C300" i="22"/>
  <c r="C301" i="22"/>
  <c r="C302" i="22"/>
  <c r="C303" i="22"/>
  <c r="C304" i="22"/>
  <c r="C305" i="22"/>
  <c r="C306" i="22"/>
  <c r="C307" i="22"/>
  <c r="C308" i="22"/>
  <c r="C309" i="22"/>
  <c r="C310" i="22"/>
  <c r="C311" i="22"/>
  <c r="C312" i="22"/>
  <c r="C313" i="22"/>
  <c r="C314" i="22"/>
  <c r="C315" i="22"/>
  <c r="C316" i="22"/>
  <c r="C317" i="22"/>
  <c r="C318" i="22"/>
  <c r="C319" i="22"/>
  <c r="C320" i="22"/>
  <c r="C321" i="22"/>
  <c r="C322" i="22"/>
  <c r="C323" i="22"/>
  <c r="C324" i="22"/>
  <c r="C325" i="22"/>
  <c r="C326" i="22"/>
  <c r="C327" i="22"/>
  <c r="C328" i="22"/>
  <c r="C329" i="22"/>
  <c r="C330" i="22"/>
  <c r="C331" i="22"/>
  <c r="C332" i="22"/>
  <c r="C333" i="22"/>
  <c r="C334" i="22"/>
  <c r="C335" i="22"/>
  <c r="C336" i="22"/>
  <c r="C337" i="22"/>
  <c r="C338" i="22"/>
  <c r="C339" i="22"/>
  <c r="C340" i="22"/>
  <c r="C341" i="22"/>
  <c r="C342" i="22"/>
  <c r="C343" i="22"/>
  <c r="C344" i="22"/>
  <c r="C345" i="22"/>
  <c r="C346" i="22"/>
  <c r="C347" i="22"/>
  <c r="C348" i="22"/>
  <c r="C349" i="22"/>
  <c r="C350" i="22"/>
  <c r="C351" i="22"/>
  <c r="C352" i="22"/>
  <c r="C3" i="22"/>
  <c r="E352" i="18"/>
  <c r="E351" i="18"/>
  <c r="E344" i="18"/>
  <c r="E341" i="18"/>
  <c r="E340" i="18"/>
  <c r="E339" i="18"/>
  <c r="E332" i="18"/>
  <c r="E329" i="18"/>
  <c r="E328" i="18"/>
  <c r="E327" i="18"/>
  <c r="E320" i="18"/>
  <c r="E317" i="18"/>
  <c r="E316" i="18"/>
  <c r="E315" i="18"/>
  <c r="E308" i="18"/>
  <c r="E305" i="18"/>
  <c r="E304" i="18"/>
  <c r="E303" i="18"/>
  <c r="E296" i="18"/>
  <c r="E293" i="18"/>
  <c r="E292" i="18"/>
  <c r="E291" i="18"/>
  <c r="E284" i="18"/>
  <c r="E281" i="18"/>
  <c r="E280" i="18"/>
  <c r="E279" i="18"/>
  <c r="E272" i="18"/>
  <c r="E269" i="18"/>
  <c r="E268" i="18"/>
  <c r="E267" i="18"/>
  <c r="E260" i="18"/>
  <c r="E257" i="18"/>
  <c r="E256" i="18"/>
  <c r="E255" i="18"/>
  <c r="E248" i="18"/>
  <c r="E245" i="18"/>
  <c r="E244" i="18"/>
  <c r="E243" i="18"/>
  <c r="E236" i="18"/>
  <c r="E233" i="18"/>
  <c r="E232" i="18"/>
  <c r="E231" i="18"/>
  <c r="E224" i="18"/>
  <c r="E221" i="18"/>
  <c r="E220" i="18"/>
  <c r="E219" i="18"/>
  <c r="E212" i="18"/>
  <c r="E209" i="18"/>
  <c r="E208" i="18"/>
  <c r="E207" i="18"/>
  <c r="E200" i="18"/>
  <c r="E197" i="18"/>
  <c r="E196" i="18"/>
  <c r="E195" i="18"/>
  <c r="E188" i="18"/>
  <c r="E185" i="18"/>
  <c r="E184" i="18"/>
  <c r="E183" i="18"/>
  <c r="E176" i="18"/>
  <c r="E173" i="18"/>
  <c r="E172" i="18"/>
  <c r="E171" i="18"/>
  <c r="E164" i="18"/>
  <c r="E161" i="18"/>
  <c r="E160" i="18"/>
  <c r="E159" i="18"/>
  <c r="E152" i="18"/>
  <c r="E149" i="18"/>
  <c r="E148" i="18"/>
  <c r="E147" i="18"/>
  <c r="E140" i="18"/>
  <c r="E137" i="18"/>
  <c r="E136" i="18"/>
  <c r="E135" i="18"/>
  <c r="E128" i="18"/>
  <c r="E125" i="18"/>
  <c r="E124" i="18"/>
  <c r="E123" i="18"/>
  <c r="E116" i="18"/>
  <c r="E113" i="18"/>
  <c r="E112" i="18"/>
  <c r="E111" i="18"/>
  <c r="E104" i="18"/>
  <c r="E101" i="18"/>
  <c r="E100" i="18"/>
  <c r="E99" i="18"/>
  <c r="E92" i="18"/>
  <c r="E89" i="18"/>
  <c r="E88" i="18"/>
  <c r="E87" i="18"/>
  <c r="E80" i="18"/>
  <c r="E77" i="18"/>
  <c r="E76" i="18"/>
  <c r="E75" i="18"/>
  <c r="E68" i="18"/>
  <c r="E65" i="18"/>
  <c r="E64" i="18"/>
  <c r="E63" i="18"/>
  <c r="E56" i="18"/>
  <c r="E53" i="18"/>
  <c r="E52" i="18"/>
  <c r="E51" i="18"/>
  <c r="E44" i="18"/>
  <c r="E41" i="18"/>
  <c r="E40" i="18"/>
  <c r="E39" i="18"/>
  <c r="E32" i="18"/>
  <c r="E29" i="18"/>
  <c r="E28" i="18"/>
  <c r="E27" i="18"/>
  <c r="E20" i="18"/>
  <c r="E17" i="18"/>
  <c r="E16" i="18"/>
  <c r="E15" i="18"/>
  <c r="E8" i="18"/>
  <c r="E5" i="18"/>
  <c r="E4" i="18"/>
  <c r="E3" i="18"/>
  <c r="E350" i="18"/>
  <c r="E349" i="18"/>
  <c r="E348" i="18"/>
  <c r="E347" i="18"/>
  <c r="E346" i="18"/>
  <c r="E345" i="18"/>
  <c r="E343" i="18"/>
  <c r="E342" i="18"/>
  <c r="E338" i="18"/>
  <c r="E337" i="18"/>
  <c r="E336" i="18"/>
  <c r="E335" i="18"/>
  <c r="E334" i="18"/>
  <c r="E333" i="18"/>
  <c r="E331" i="18"/>
  <c r="E330" i="18"/>
  <c r="E326" i="18"/>
  <c r="E325" i="18"/>
  <c r="E324" i="18"/>
  <c r="E323" i="18"/>
  <c r="E322" i="18"/>
  <c r="E321" i="18"/>
  <c r="E319" i="18"/>
  <c r="E318" i="18"/>
  <c r="E314" i="18"/>
  <c r="E313" i="18"/>
  <c r="E312" i="18"/>
  <c r="E311" i="18"/>
  <c r="E310" i="18"/>
  <c r="E309" i="18"/>
  <c r="E307" i="18"/>
  <c r="E306" i="18"/>
  <c r="E302" i="18"/>
  <c r="E301" i="18"/>
  <c r="E300" i="18"/>
  <c r="E299" i="18"/>
  <c r="E298" i="18"/>
  <c r="E297" i="18"/>
  <c r="E295" i="18"/>
  <c r="E294" i="18"/>
  <c r="E290" i="18"/>
  <c r="E289" i="18"/>
  <c r="E288" i="18"/>
  <c r="E287" i="18"/>
  <c r="E286" i="18"/>
  <c r="E285" i="18"/>
  <c r="E283" i="18"/>
  <c r="E282" i="18"/>
  <c r="E278" i="18"/>
  <c r="E277" i="18"/>
  <c r="E276" i="18"/>
  <c r="E275" i="18"/>
  <c r="E274" i="18"/>
  <c r="E273" i="18"/>
  <c r="E271" i="18"/>
  <c r="E270" i="18"/>
  <c r="E266" i="18"/>
  <c r="E265" i="18"/>
  <c r="E264" i="18"/>
  <c r="E263" i="18"/>
  <c r="E262" i="18"/>
  <c r="E261" i="18"/>
  <c r="E259" i="18"/>
  <c r="E258" i="18"/>
  <c r="E254" i="18"/>
  <c r="E253" i="18"/>
  <c r="E252" i="18"/>
  <c r="E251" i="18"/>
  <c r="E250" i="18"/>
  <c r="E249" i="18"/>
  <c r="E247" i="18"/>
  <c r="E246" i="18"/>
  <c r="E242" i="18"/>
  <c r="E241" i="18"/>
  <c r="E240" i="18"/>
  <c r="E239" i="18"/>
  <c r="E238" i="18"/>
  <c r="E237" i="18"/>
  <c r="E235" i="18"/>
  <c r="E234" i="18"/>
  <c r="E230" i="18"/>
  <c r="E229" i="18"/>
  <c r="E228" i="18"/>
  <c r="E227" i="18"/>
  <c r="E226" i="18"/>
  <c r="E225" i="18"/>
  <c r="E223" i="18"/>
  <c r="E222" i="18"/>
  <c r="E218" i="18"/>
  <c r="E217" i="18"/>
  <c r="E216" i="18"/>
  <c r="E215" i="18"/>
  <c r="E214" i="18"/>
  <c r="E213" i="18"/>
  <c r="E211" i="18"/>
  <c r="E210" i="18"/>
  <c r="E206" i="18"/>
  <c r="E205" i="18"/>
  <c r="E204" i="18"/>
  <c r="E203" i="18"/>
  <c r="E202" i="18"/>
  <c r="E201" i="18"/>
  <c r="E199" i="18"/>
  <c r="E198" i="18"/>
  <c r="E194" i="18"/>
  <c r="E193" i="18"/>
  <c r="E192" i="18"/>
  <c r="E191" i="18"/>
  <c r="E190" i="18"/>
  <c r="E189" i="18"/>
  <c r="E187" i="18"/>
  <c r="E186" i="18"/>
  <c r="E182" i="18"/>
  <c r="E181" i="18"/>
  <c r="E180" i="18"/>
  <c r="E179" i="18"/>
  <c r="E178" i="18"/>
  <c r="E177" i="18"/>
  <c r="E175" i="18"/>
  <c r="E174" i="18"/>
  <c r="E170" i="18"/>
  <c r="E169" i="18"/>
  <c r="E168" i="18"/>
  <c r="E167" i="18"/>
  <c r="E166" i="18"/>
  <c r="E165" i="18"/>
  <c r="E163" i="18"/>
  <c r="E162" i="18"/>
  <c r="E158" i="18"/>
  <c r="E157" i="18"/>
  <c r="E156" i="18"/>
  <c r="E155" i="18"/>
  <c r="E154" i="18"/>
  <c r="E153" i="18"/>
  <c r="E151" i="18"/>
  <c r="E150" i="18"/>
  <c r="E146" i="18"/>
  <c r="E145" i="18"/>
  <c r="E144" i="18"/>
  <c r="E143" i="18"/>
  <c r="E142" i="18"/>
  <c r="E141" i="18"/>
  <c r="E139" i="18"/>
  <c r="E138" i="18"/>
  <c r="E134" i="18"/>
  <c r="E133" i="18"/>
  <c r="E132" i="18"/>
  <c r="E131" i="18"/>
  <c r="E130" i="18"/>
  <c r="E129" i="18"/>
  <c r="E127" i="18"/>
  <c r="E126" i="18"/>
  <c r="E122" i="18"/>
  <c r="E121" i="18"/>
  <c r="E120" i="18"/>
  <c r="E119" i="18"/>
  <c r="E118" i="18"/>
  <c r="E117" i="18"/>
  <c r="E115" i="18"/>
  <c r="E114" i="18"/>
  <c r="E110" i="18"/>
  <c r="E109" i="18"/>
  <c r="E108" i="18"/>
  <c r="E107" i="18"/>
  <c r="E106" i="18"/>
  <c r="E105" i="18"/>
  <c r="E103" i="18"/>
  <c r="E102" i="18"/>
  <c r="E98" i="18"/>
  <c r="E97" i="18"/>
  <c r="E96" i="18"/>
  <c r="E95" i="18"/>
  <c r="E94" i="18"/>
  <c r="E93" i="18"/>
  <c r="E91" i="18"/>
  <c r="E90" i="18"/>
  <c r="E86" i="18"/>
  <c r="E85" i="18"/>
  <c r="E84" i="18"/>
  <c r="E83" i="18"/>
  <c r="E82" i="18"/>
  <c r="E81" i="18"/>
  <c r="E79" i="18"/>
  <c r="E78" i="18"/>
  <c r="E74" i="18"/>
  <c r="E73" i="18"/>
  <c r="E72" i="18"/>
  <c r="E71" i="18"/>
  <c r="E70" i="18"/>
  <c r="E69" i="18"/>
  <c r="E67" i="18"/>
  <c r="E66" i="18"/>
  <c r="E62" i="18"/>
  <c r="E61" i="18"/>
  <c r="E60" i="18"/>
  <c r="E59" i="18"/>
  <c r="E58" i="18"/>
  <c r="E57" i="18"/>
  <c r="E55" i="18"/>
  <c r="E54" i="18"/>
  <c r="E50" i="18"/>
  <c r="E49" i="18"/>
  <c r="E48" i="18"/>
  <c r="E47" i="18"/>
  <c r="E46" i="18"/>
  <c r="E45" i="18"/>
  <c r="E43" i="18"/>
  <c r="E42" i="18"/>
  <c r="E38" i="18"/>
  <c r="E37" i="18"/>
  <c r="E36" i="18"/>
  <c r="E35" i="18"/>
  <c r="E34" i="18"/>
  <c r="E33" i="18"/>
  <c r="E31" i="18"/>
  <c r="E30" i="18"/>
  <c r="E26" i="18"/>
  <c r="E25" i="18"/>
  <c r="E24" i="18"/>
  <c r="E23" i="18"/>
  <c r="E22" i="18"/>
  <c r="E21" i="18"/>
  <c r="E19" i="18"/>
  <c r="E18" i="18"/>
  <c r="E14" i="18"/>
  <c r="E13" i="18"/>
  <c r="E12" i="18"/>
  <c r="E11" i="18"/>
  <c r="E10" i="18"/>
  <c r="E9" i="18"/>
  <c r="E7" i="18"/>
  <c r="E6" i="18"/>
  <c r="A3" i="15"/>
  <c r="G23" i="13"/>
  <c r="E352" i="13"/>
  <c r="E351" i="13"/>
  <c r="E350" i="13"/>
  <c r="E349" i="13"/>
  <c r="E348" i="13"/>
  <c r="E347" i="13"/>
  <c r="E346" i="13"/>
  <c r="E345" i="13"/>
  <c r="E344" i="13"/>
  <c r="E343" i="13"/>
  <c r="E342" i="13"/>
  <c r="E341" i="13"/>
  <c r="E340" i="13"/>
  <c r="E339" i="13"/>
  <c r="E338" i="13"/>
  <c r="E337" i="13"/>
  <c r="E336" i="13"/>
  <c r="E335" i="13"/>
  <c r="E334" i="13"/>
  <c r="E333" i="13"/>
  <c r="E332" i="13"/>
  <c r="E331" i="13"/>
  <c r="E330" i="13"/>
  <c r="E329" i="13"/>
  <c r="E328" i="13"/>
  <c r="E327" i="13"/>
  <c r="E326" i="13"/>
  <c r="E325" i="13"/>
  <c r="E324" i="13"/>
  <c r="E323" i="13"/>
  <c r="E322" i="13"/>
  <c r="E321" i="13"/>
  <c r="E320" i="13"/>
  <c r="E319" i="13"/>
  <c r="E318" i="13"/>
  <c r="E317" i="13"/>
  <c r="E316" i="13"/>
  <c r="E315" i="13"/>
  <c r="E314" i="13"/>
  <c r="E313" i="13"/>
  <c r="E312" i="13"/>
  <c r="E311" i="13"/>
  <c r="E310" i="13"/>
  <c r="E309" i="13"/>
  <c r="E308" i="13"/>
  <c r="E307" i="13"/>
  <c r="E306" i="13"/>
  <c r="E305" i="13"/>
  <c r="E304" i="13"/>
  <c r="E303" i="13"/>
  <c r="E302" i="13"/>
  <c r="E301" i="13"/>
  <c r="E300" i="13"/>
  <c r="E299" i="13"/>
  <c r="E298" i="13"/>
  <c r="E297" i="13"/>
  <c r="E296" i="13"/>
  <c r="E295" i="13"/>
  <c r="E294" i="13"/>
  <c r="E293" i="13"/>
  <c r="E292" i="13"/>
  <c r="E291" i="13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G5" i="12" s="1"/>
  <c r="E4" i="12"/>
  <c r="E3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G3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A357" i="8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C357" i="6"/>
  <c r="G4" i="11" l="1"/>
  <c r="A357" i="6" l="1"/>
</calcChain>
</file>

<file path=xl/sharedStrings.xml><?xml version="1.0" encoding="utf-8"?>
<sst xmlns="http://schemas.openxmlformats.org/spreadsheetml/2006/main" count="23757" uniqueCount="455">
  <si>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</si>
  <si>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</si>
  <si>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</si>
  <si>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</si>
  <si>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</si>
  <si>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</si>
  <si>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</si>
  <si>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</si>
  <si>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</si>
  <si>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</si>
  <si>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</si>
  <si>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</si>
  <si>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</si>
  <si>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</si>
  <si>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</si>
  <si>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</si>
  <si>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</si>
  <si>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</si>
  <si>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</si>
  <si>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</si>
  <si>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</si>
  <si>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</si>
  <si>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</si>
  <si>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</si>
  <si>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</si>
  <si>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</si>
  <si>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</si>
  <si>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</si>
  <si>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</si>
  <si>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</si>
  <si>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</si>
  <si>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</si>
  <si>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</si>
  <si>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</si>
  <si>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</si>
  <si>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</si>
  <si>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</si>
  <si>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</si>
  <si>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</si>
  <si>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</si>
  <si>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</si>
  <si>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</si>
  <si>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</si>
  <si>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</si>
  <si>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</si>
  <si>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</si>
  <si>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</si>
  <si>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</si>
  <si>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</si>
  <si>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</si>
  <si>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</si>
  <si>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</si>
  <si>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</si>
  <si>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</si>
  <si>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</si>
  <si>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</si>
  <si>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</si>
  <si>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</si>
  <si>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</si>
  <si>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</si>
  <si>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</si>
  <si>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</si>
  <si>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</si>
  <si>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</si>
  <si>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</si>
  <si>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</si>
  <si>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</si>
  <si>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</si>
  <si>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</si>
  <si>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</si>
  <si>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</si>
  <si>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</si>
  <si>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</si>
  <si>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</si>
  <si>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</si>
  <si>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</si>
  <si>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</si>
  <si>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</si>
  <si>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</si>
  <si>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</si>
  <si>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</si>
  <si>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</si>
  <si>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</si>
  <si>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</si>
  <si>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</si>
  <si>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</si>
  <si>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</si>
  <si>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</si>
  <si>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</si>
  <si>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</si>
  <si>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</si>
  <si>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</si>
  <si>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</si>
  <si>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</si>
  <si>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</si>
  <si>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</si>
  <si>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</si>
  <si>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</si>
  <si>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</si>
  <si>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</si>
  <si>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</si>
  <si>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</si>
  <si>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</si>
  <si>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</si>
  <si>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</si>
  <si>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</si>
  <si>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</si>
  <si>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</si>
  <si>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</si>
  <si>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</si>
  <si>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</si>
  <si>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</si>
  <si>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</si>
  <si>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</si>
  <si>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</si>
  <si>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</si>
  <si>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</si>
  <si>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</si>
  <si>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</si>
  <si>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</si>
  <si>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</si>
  <si>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</si>
  <si>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</si>
  <si>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</si>
  <si>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</si>
  <si>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</si>
  <si>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</si>
  <si>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</si>
  <si>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</si>
  <si>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</si>
  <si>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</si>
  <si>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</si>
  <si>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</si>
  <si>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</si>
  <si>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</si>
  <si>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</si>
  <si>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</si>
  <si>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</si>
  <si>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</si>
  <si>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</si>
  <si>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</si>
  <si>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</si>
  <si>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</si>
  <si>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</si>
  <si>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</si>
  <si>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</si>
  <si>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</si>
  <si>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</si>
  <si>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</si>
  <si>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</si>
  <si>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</si>
  <si>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</si>
  <si>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</si>
  <si>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</si>
  <si>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</si>
  <si>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</si>
  <si>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</si>
  <si>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</si>
  <si>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</si>
  <si>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</si>
  <si>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</si>
  <si>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</si>
  <si>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</si>
  <si>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</si>
  <si>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</si>
  <si>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</si>
  <si>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</si>
  <si>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</si>
  <si>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</si>
  <si>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</si>
  <si>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</si>
  <si>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</si>
  <si>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</si>
  <si>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</si>
  <si>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</si>
  <si>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</si>
  <si>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</si>
  <si>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</si>
  <si>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</si>
  <si>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</si>
  <si>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</si>
  <si>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</si>
  <si>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</si>
  <si>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</si>
  <si>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</si>
  <si>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</si>
  <si>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</si>
  <si>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</si>
  <si>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</si>
  <si>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</si>
  <si>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</si>
  <si>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</si>
  <si>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</si>
  <si>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</si>
  <si>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</si>
  <si>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</si>
  <si>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</si>
  <si>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</si>
  <si>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</si>
  <si>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</si>
  <si>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</si>
  <si>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</si>
  <si>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</si>
  <si>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</si>
  <si>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</si>
  <si>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</si>
  <si>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</si>
  <si>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</si>
  <si>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</si>
  <si>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</si>
  <si>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</si>
  <si>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</si>
  <si>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</si>
  <si>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</si>
  <si>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</si>
  <si>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</si>
  <si>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</si>
  <si>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</si>
  <si>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</si>
  <si>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</si>
  <si>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</si>
  <si>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</si>
  <si>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</si>
  <si>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</si>
  <si>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</si>
  <si>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</si>
  <si>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</si>
  <si>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</si>
  <si>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</si>
  <si>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</si>
  <si>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</si>
  <si>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</si>
  <si>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</si>
  <si>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</si>
  <si>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</si>
  <si>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</si>
  <si>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</si>
  <si>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</si>
  <si>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</si>
  <si>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</si>
  <si>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</si>
  <si>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</si>
  <si>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</si>
  <si>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</si>
  <si>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</si>
  <si>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</si>
  <si>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</si>
  <si>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</si>
  <si>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</si>
  <si>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</si>
  <si>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</si>
  <si>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</si>
  <si>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</si>
  <si>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</si>
  <si>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</si>
  <si>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</si>
  <si>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</si>
  <si>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</si>
  <si>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</si>
  <si>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</si>
  <si>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</si>
  <si>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</si>
  <si>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</si>
  <si>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</si>
  <si>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</si>
  <si>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</si>
  <si>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</si>
  <si>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</si>
  <si>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</si>
  <si>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</si>
  <si>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</si>
  <si>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</si>
  <si>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</si>
  <si>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</si>
  <si>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</si>
  <si>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</si>
  <si>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</si>
  <si>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</si>
  <si>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</si>
  <si>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</si>
  <si>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</si>
  <si>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</si>
  <si>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</si>
  <si>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</si>
  <si>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</si>
  <si>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</si>
  <si>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</si>
  <si>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</si>
  <si>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</si>
  <si>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</si>
  <si>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</si>
  <si>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</si>
  <si>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</si>
  <si>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</si>
  <si>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</si>
  <si>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</si>
  <si>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</si>
  <si>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</si>
  <si>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</si>
  <si>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</si>
  <si>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</si>
  <si>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</si>
  <si>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</si>
  <si>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</si>
  <si>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</si>
  <si>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</si>
  <si>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</si>
  <si>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</si>
  <si>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</si>
  <si>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</si>
  <si>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</si>
  <si>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</si>
  <si>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</si>
  <si>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</si>
  <si>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</si>
  <si>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</si>
  <si>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</si>
  <si>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</si>
  <si>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</si>
  <si>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</si>
  <si>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</si>
  <si>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</si>
  <si>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</si>
  <si>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</si>
  <si>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</si>
  <si>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</si>
  <si>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</si>
  <si>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</si>
  <si>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</si>
  <si>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</si>
  <si>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</si>
  <si>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</si>
  <si>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</si>
  <si>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</si>
  <si>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</si>
  <si>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</si>
  <si>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</si>
  <si>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</si>
  <si>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</si>
  <si>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</si>
  <si>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</si>
  <si>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</si>
  <si>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</si>
  <si>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</si>
  <si>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</si>
  <si>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</si>
  <si>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</si>
  <si>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</si>
  <si>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</si>
  <si>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</si>
  <si>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</si>
  <si>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</si>
  <si>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</si>
  <si>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</si>
  <si>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</si>
  <si>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</si>
  <si>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</si>
  <si>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</si>
  <si>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</si>
  <si>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</si>
  <si>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</si>
  <si>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</si>
  <si>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</si>
  <si>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</si>
  <si>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</si>
  <si>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</si>
  <si>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</si>
  <si>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</si>
  <si>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</si>
  <si>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</si>
  <si>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</si>
  <si>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</si>
  <si>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</si>
  <si>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</si>
  <si>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</si>
  <si>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</si>
  <si>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</si>
  <si>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</si>
  <si>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</si>
  <si>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Q1</t>
  </si>
  <si>
    <t>Use Copilot to identify and summarize missing values in the dataset.</t>
  </si>
  <si>
    <t>COLUMN NAME</t>
  </si>
  <si>
    <t xml:space="preserve">Category </t>
  </si>
  <si>
    <t>Order priority</t>
  </si>
  <si>
    <t>Order date</t>
  </si>
  <si>
    <t>Units sold</t>
  </si>
  <si>
    <t>Unit price</t>
  </si>
  <si>
    <t>Unit cost</t>
  </si>
  <si>
    <t>Count of missing value</t>
  </si>
  <si>
    <t>Column1</t>
  </si>
  <si>
    <t>Column2</t>
  </si>
  <si>
    <t>Q2</t>
  </si>
  <si>
    <t>Use Copilot to fill missing values in the Region and Category columns.</t>
  </si>
  <si>
    <t>Q3</t>
  </si>
  <si>
    <t>Fill missing numeric values in the Unit Sold and Unit price columns.</t>
  </si>
  <si>
    <t>Average of Unit Price</t>
  </si>
  <si>
    <t>Average of unit sold</t>
  </si>
  <si>
    <t>Q4</t>
  </si>
  <si>
    <t>Create a new calculated column Total Revenue</t>
  </si>
  <si>
    <t>Total Revenue</t>
  </si>
  <si>
    <t>Q5</t>
  </si>
  <si>
    <t xml:space="preserve"> Use Copilot to find the total price of Order ID = ‘ORD0123’.</t>
  </si>
  <si>
    <t>total revenue for ORD123</t>
  </si>
  <si>
    <t>Q6</t>
  </si>
  <si>
    <t>Use Copilot to generate a summary chart of average profit by region.</t>
  </si>
  <si>
    <t>Profit</t>
  </si>
  <si>
    <t>EAST REGION</t>
  </si>
  <si>
    <t>WEST REGION</t>
  </si>
  <si>
    <t>NORTH REGION</t>
  </si>
  <si>
    <t>SOUTH REGION</t>
  </si>
  <si>
    <t>Q7</t>
  </si>
  <si>
    <t>Create a pivot table summarizing total sales by category and region.</t>
  </si>
  <si>
    <t>Row Labels</t>
  </si>
  <si>
    <t>(blank)</t>
  </si>
  <si>
    <t>Grand Total</t>
  </si>
  <si>
    <t>Sales</t>
  </si>
  <si>
    <t>Sum of Sales</t>
  </si>
  <si>
    <t>Column Labels</t>
  </si>
  <si>
    <t>Q8</t>
  </si>
  <si>
    <t xml:space="preserve"> Build a dashboard combining key KPIs and charts.</t>
  </si>
  <si>
    <t>Revenue per sale</t>
  </si>
  <si>
    <t>TOTAL SALES</t>
  </si>
  <si>
    <t>AVERAGE REVENUE</t>
  </si>
  <si>
    <t>TOTAL UNITS SOLD</t>
  </si>
  <si>
    <t>Q9</t>
  </si>
  <si>
    <t>Use Copilot to generate a summary report.</t>
  </si>
  <si>
    <r>
      <t>1. Data Organization</t>
    </r>
    <r>
      <rPr>
        <sz val="8"/>
        <color rgb="FF364766"/>
        <rFont val="Segoe UI"/>
        <family val="2"/>
      </rPr>
      <t>:</t>
    </r>
  </si>
  <si>
    <t>Ensure your data is organized clearly in a tabular format with headers for each column.</t>
  </si>
  <si>
    <r>
      <t>2. Summary Statistics</t>
    </r>
    <r>
      <rPr>
        <sz val="8"/>
        <color rgb="FF364766"/>
        <rFont val="Segoe UI"/>
        <family val="2"/>
      </rPr>
      <t>:</t>
    </r>
  </si>
  <si>
    <r>
      <t xml:space="preserve">Use functions like </t>
    </r>
    <r>
      <rPr>
        <sz val="10"/>
        <color rgb="FF364766"/>
        <rFont val="Arial Unicode MS"/>
      </rPr>
      <t>AVERAGE</t>
    </r>
    <r>
      <rPr>
        <sz val="8"/>
        <color rgb="FF364766"/>
        <rFont val="Segoe UI"/>
        <family val="2"/>
      </rPr>
      <t xml:space="preserve">, </t>
    </r>
    <r>
      <rPr>
        <sz val="10"/>
        <color rgb="FF364766"/>
        <rFont val="Arial Unicode MS"/>
      </rPr>
      <t>COUNT</t>
    </r>
    <r>
      <rPr>
        <sz val="8"/>
        <color rgb="FF364766"/>
        <rFont val="Segoe UI"/>
        <family val="2"/>
      </rPr>
      <t xml:space="preserve">, </t>
    </r>
    <r>
      <rPr>
        <sz val="10"/>
        <color rgb="FF364766"/>
        <rFont val="Arial Unicode MS"/>
      </rPr>
      <t>SUM</t>
    </r>
    <r>
      <rPr>
        <sz val="8"/>
        <color rgb="FF364766"/>
        <rFont val="Segoe UI"/>
        <family val="2"/>
      </rPr>
      <t xml:space="preserve">, </t>
    </r>
    <r>
      <rPr>
        <sz val="10"/>
        <color rgb="FF364766"/>
        <rFont val="Arial Unicode MS"/>
      </rPr>
      <t>MIN</t>
    </r>
    <r>
      <rPr>
        <sz val="8"/>
        <color rgb="FF364766"/>
        <rFont val="Segoe UI"/>
        <family val="2"/>
      </rPr>
      <t xml:space="preserve">, and </t>
    </r>
    <r>
      <rPr>
        <sz val="10"/>
        <color rgb="FF364766"/>
        <rFont val="Arial Unicode MS"/>
      </rPr>
      <t>MAX</t>
    </r>
    <r>
      <rPr>
        <sz val="8"/>
        <color rgb="FF364766"/>
        <rFont val="Segoe UI"/>
        <family val="2"/>
      </rPr>
      <t xml:space="preserve"> to get basic statistics from your dataset.</t>
    </r>
  </si>
  <si>
    <t>Example:</t>
  </si>
  <si>
    <r>
      <t>=AVERAGE(B2:B100)</t>
    </r>
    <r>
      <rPr>
        <sz val="8"/>
        <color rgb="FF364766"/>
        <rFont val="Segoe UI"/>
        <family val="2"/>
      </rPr>
      <t xml:space="preserve"> calculates the average of values in the specified range.</t>
    </r>
  </si>
  <si>
    <r>
      <t>3. Conditional Formatting</t>
    </r>
    <r>
      <rPr>
        <sz val="8"/>
        <color rgb="FF364766"/>
        <rFont val="Segoe UI"/>
        <family val="2"/>
      </rPr>
      <t>:</t>
    </r>
  </si>
  <si>
    <t>Apply conditional formatting to highlight standard deviations, trends, or key metrics.</t>
  </si>
  <si>
    <r>
      <t>4. Charts and Graphs</t>
    </r>
    <r>
      <rPr>
        <sz val="8"/>
        <color rgb="FF364766"/>
        <rFont val="Segoe UI"/>
        <family val="2"/>
      </rPr>
      <t>:</t>
    </r>
  </si>
  <si>
    <t>Use charts to visualize the data, such as:</t>
  </si>
  <si>
    <r>
      <t>Bar Charts</t>
    </r>
    <r>
      <rPr>
        <sz val="8"/>
        <color rgb="FF364766"/>
        <rFont val="Segoe UI"/>
        <family val="2"/>
      </rPr>
      <t xml:space="preserve"> for comparing categories.</t>
    </r>
  </si>
  <si>
    <r>
      <t>Line Graphs</t>
    </r>
    <r>
      <rPr>
        <sz val="8"/>
        <color rgb="FF364766"/>
        <rFont val="Segoe UI"/>
        <family val="2"/>
      </rPr>
      <t xml:space="preserve"> for trends over time.</t>
    </r>
  </si>
  <si>
    <r>
      <t>Pie Charts</t>
    </r>
    <r>
      <rPr>
        <sz val="8"/>
        <color rgb="FF364766"/>
        <rFont val="Segoe UI"/>
        <family val="2"/>
      </rPr>
      <t xml:space="preserve"> for percentage shares.</t>
    </r>
  </si>
  <si>
    <r>
      <t>5. Identifying Trends</t>
    </r>
    <r>
      <rPr>
        <sz val="8"/>
        <color rgb="FF364766"/>
        <rFont val="Segoe UI"/>
        <family val="2"/>
      </rPr>
      <t>:</t>
    </r>
  </si>
  <si>
    <r>
      <t xml:space="preserve">Look for trends over time, seasonality, or correlations within the data. Use </t>
    </r>
    <r>
      <rPr>
        <sz val="10"/>
        <color rgb="FF364766"/>
        <rFont val="Arial Unicode MS"/>
      </rPr>
      <t>FORECAST</t>
    </r>
    <r>
      <rPr>
        <sz val="8"/>
        <color rgb="FF364766"/>
        <rFont val="Segoe UI"/>
        <family val="2"/>
      </rPr>
      <t xml:space="preserve"> or </t>
    </r>
    <r>
      <rPr>
        <sz val="10"/>
        <color rgb="FF364766"/>
        <rFont val="Arial Unicode MS"/>
      </rPr>
      <t>TREND</t>
    </r>
    <r>
      <rPr>
        <sz val="8"/>
        <color rgb="FF364766"/>
        <rFont val="Segoe UI"/>
        <family val="2"/>
      </rPr>
      <t xml:space="preserve"> functions if needed.</t>
    </r>
  </si>
  <si>
    <r>
      <t>6. Insights and Conclusions</t>
    </r>
    <r>
      <rPr>
        <sz val="8"/>
        <color rgb="FF364766"/>
        <rFont val="Segoe UI"/>
        <family val="2"/>
      </rPr>
      <t>:</t>
    </r>
  </si>
  <si>
    <t>Summarize key findings in a brief paragraph, focusing on:</t>
  </si>
  <si>
    <t>Unexpected results</t>
  </si>
  <si>
    <t>Major trends</t>
  </si>
  <si>
    <t>Any correlations</t>
  </si>
  <si>
    <r>
      <t>7. Creating Dashboards</t>
    </r>
    <r>
      <rPr>
        <sz val="8"/>
        <color rgb="FF364766"/>
        <rFont val="Segoe UI"/>
        <family val="2"/>
      </rPr>
      <t>:</t>
    </r>
  </si>
  <si>
    <t>If applicable, create a dashboard to combine different metrics and visualizations for an overarching view of the data.</t>
  </si>
  <si>
    <t>Example of Key Insights to Include in a Report:</t>
  </si>
  <si>
    <r>
      <t>Trends</t>
    </r>
    <r>
      <rPr>
        <sz val="8"/>
        <color rgb="FF364766"/>
        <rFont val="Segoe UI"/>
        <family val="2"/>
      </rPr>
      <t>: Describe whether sales increased or decreased over a specific period and possible reasons.</t>
    </r>
  </si>
  <si>
    <r>
      <t>Comparative Performance</t>
    </r>
    <r>
      <rPr>
        <sz val="8"/>
        <color rgb="FF364766"/>
        <rFont val="Segoe UI"/>
        <family val="2"/>
      </rPr>
      <t>: Identify which products or sectors performed best/poorly against others.</t>
    </r>
  </si>
  <si>
    <r>
      <t>Customer Insights</t>
    </r>
    <r>
      <rPr>
        <sz val="8"/>
        <color rgb="FF364766"/>
        <rFont val="Segoe UI"/>
        <family val="2"/>
      </rPr>
      <t>: If it’s customer data, highlight demographic trends or purchasing behavior.</t>
    </r>
  </si>
  <si>
    <t>REGION:-</t>
  </si>
  <si>
    <t>CATEGORY:-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</si>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</sst>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364766"/>
      <name val="Segoe UI"/>
      <family val="2"/>
    </font>
    <font>
      <b/>
      <sz val="8"/>
      <color rgb="FF364766"/>
      <name val="Segoe UI"/>
      <family val="2"/>
    </font>
    <font>
      <sz val="10"/>
      <color rgb="FF364766"/>
      <name val="Arial Unicode MS"/>
    </font>
    <font>
      <b/>
      <sz val="13.5"/>
      <color rgb="FF364766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center" wrapText="1"/>
    </xf>
    <xf numFmtId="22" fontId="0" fillId="0" borderId="2" xfId="0" applyNumberForma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22" fontId="0" fillId="0" borderId="5" xfId="0" applyNumberFormat="1" applyBorder="1" applyAlignment="1">
      <alignment horizontal="center" wrapText="1"/>
    </xf>
    <xf numFmtId="0" fontId="2" fillId="0" borderId="0" xfId="0" applyFont="1"/>
    <xf numFmtId="0" fontId="0" fillId="4" borderId="2" xfId="0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0" borderId="2" xfId="0" applyFont="1" applyBorder="1" applyAlignment="1">
      <alignment horizontal="center" wrapText="1"/>
    </xf>
    <xf numFmtId="0" fontId="0" fillId="0" borderId="6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top" wrapText="1"/>
    </xf>
    <xf numFmtId="0" fontId="0" fillId="4" borderId="6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center" wrapText="1"/>
    </xf>
    <xf numFmtId="0" fontId="0" fillId="4" borderId="5" xfId="0" applyFont="1" applyFill="1" applyBorder="1" applyAlignment="1">
      <alignment horizontal="center" wrapText="1"/>
    </xf>
    <xf numFmtId="0" fontId="0" fillId="5" borderId="0" xfId="0" applyFill="1"/>
    <xf numFmtId="0" fontId="1" fillId="2" borderId="1" xfId="0" applyFont="1" applyFill="1" applyBorder="1" applyAlignment="1">
      <alignment horizontal="center" vertical="top" wrapText="1"/>
    </xf>
    <xf numFmtId="0" fontId="0" fillId="3" borderId="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3" borderId="10" xfId="0" applyFont="1" applyFill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6" borderId="0" xfId="0" applyFill="1"/>
    <xf numFmtId="0" fontId="2" fillId="7" borderId="0" xfId="0" applyFont="1" applyFill="1"/>
    <xf numFmtId="0" fontId="1" fillId="2" borderId="11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12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vertical="top" wrapText="1"/>
    </xf>
    <xf numFmtId="0" fontId="0" fillId="8" borderId="0" xfId="0" applyFill="1"/>
    <xf numFmtId="0" fontId="1" fillId="2" borderId="0" xfId="0" applyFont="1" applyFill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3"/>
    </xf>
    <xf numFmtId="0" fontId="7" fillId="0" borderId="0" xfId="0" applyFont="1" applyAlignment="1">
      <alignment vertical="center"/>
    </xf>
    <xf numFmtId="0" fontId="2" fillId="6" borderId="0" xfId="0" applyFont="1" applyFill="1" applyAlignment="1">
      <alignment horizontal="center"/>
    </xf>
    <xf numFmtId="0" fontId="2" fillId="9" borderId="0" xfId="0" applyFont="1" applyFill="1"/>
    <xf numFmtId="0" fontId="0" fillId="3" borderId="0" xfId="0" applyFont="1" applyFill="1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222">
    <dxf>
      <font>
        <color rgb="FFFFC000"/>
      </font>
    </dxf>
    <dxf>
      <font>
        <u val="double"/>
        <color rgb="FFFFFF00"/>
      </font>
    </dxf>
    <dxf>
      <font>
        <color theme="7" tint="0.3999450666829432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CCCCCC"/>
        </left>
        <top style="medium">
          <color rgb="FF000000"/>
        </top>
        <bottom style="medium">
          <color rgb="FFCCCCCC"/>
        </bottom>
      </border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CCCCCC"/>
        </left>
        <top style="medium">
          <color rgb="FF000000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CCCCCC"/>
        </left>
        <top style="medium">
          <color rgb="FF000000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CCCCCC"/>
        </left>
        <top style="medium">
          <color rgb="FF000000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'Answer Final'!$A$2:$G$2</c:f>
              <c:strCache>
                <c:ptCount val="7"/>
                <c:pt idx="0">
                  <c:v>EAST REGION</c:v>
                </c:pt>
                <c:pt idx="2">
                  <c:v>WEST REGION</c:v>
                </c:pt>
                <c:pt idx="4">
                  <c:v>NORTH REGION</c:v>
                </c:pt>
                <c:pt idx="6">
                  <c:v>SOUTH REGION</c:v>
                </c:pt>
              </c:strCache>
            </c:strRef>
          </c:cat>
          <c:val>
            <c:numRef>
              <c:f>'Answer Final'!$A$3:$G$3</c:f>
              <c:numCache>
                <c:formatCode>General</c:formatCode>
                <c:ptCount val="7"/>
                <c:pt idx="0">
                  <c:v>12298.258461538459</c:v>
                </c:pt>
                <c:pt idx="2">
                  <c:v>10632.104789999999</c:v>
                </c:pt>
                <c:pt idx="4">
                  <c:v>16608.10526</c:v>
                </c:pt>
                <c:pt idx="6">
                  <c:v>16389.779869999998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2-40A1-B227-FAEDA6837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267213473315836"/>
          <c:y val="0.35835702828813071"/>
          <c:w val="0.68732786526684164"/>
          <c:h val="0.33336431904345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'Answer 8(a)'!$G$2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'Answer 8(a)'!$G$3</c:f>
              <c:numCache>
                <c:formatCode>General</c:formatCode>
                <c:ptCount val="1"/>
                <c:pt idx="0">
                  <c:v>21381624.959999993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9-4153-A31B-6F5F0A959FAC}"/>
            </c:ext>
          </c:extLst>
        </c:ser>
        <c:ser>
          <c:idx val="1"/>
          <c:order val="1"/>
          <c:tx>
            <c:strRef>
              <c:f>'Answer 8(a)'!$H$2</c:f>
              <c:strCache>
                <c:ptCount val="1"/>
                <c:pt idx="0">
                  <c:v>AVERAGE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'Answer 8(a)'!$H$3</c:f>
              <c:numCache>
                <c:formatCode>General</c:formatCode>
                <c:ptCount val="1"/>
                <c:pt idx="0">
                  <c:v>61090.357028571409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B9-4153-A31B-6F5F0A959FAC}"/>
            </c:ext>
          </c:extLst>
        </c:ser>
        <c:ser>
          <c:idx val="2"/>
          <c:order val="2"/>
          <c:tx>
            <c:strRef>
              <c:f>'Answer 8(a)'!$I$2</c:f>
              <c:strCache>
                <c:ptCount val="1"/>
                <c:pt idx="0">
                  <c:v>TOTAL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'Answer 8(a)'!$I$3</c:f>
              <c:numCache>
                <c:formatCode>General</c:formatCode>
                <c:ptCount val="1"/>
                <c:pt idx="0">
                  <c:v>87007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B9-4153-A31B-6F5F0A959F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56839248"/>
        <c:axId val="856840208"/>
      </c:barChart>
      <c:catAx>
        <c:axId val="85683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840208"/>
        <c:crosses val="autoZero"/>
        <c:auto val="1"/>
        <c:lblAlgn val="ctr"/>
        <c:lblOffset val="100"/>
        <c:noMultiLvlLbl val="0"/>
      </c:catAx>
      <c:valAx>
        <c:axId val="856840208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56839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7</xdr:row>
      <xdr:rowOff>41910</xdr:rowOff>
    </xdr:from>
    <xdr:to>
      <xdr:col>8</xdr:col>
      <xdr:colOff>182880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614287-EAAA-8D3C-350C-53BC65AF9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5</xdr:row>
      <xdr:rowOff>41910</xdr:rowOff>
    </xdr:from>
    <xdr:to>
      <xdr:col>8</xdr:col>
      <xdr:colOff>1242060</xdr:colOff>
      <xdr:row>19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9E8E3-42DE-35D3-E0CF-EB84AA79F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chal" refreshedDate="46017.929136574072" createdVersion="8" refreshedVersion="8" minRefreshableVersion="3" recordCount="350" xr:uid="{28541DAC-6C76-4283-91BB-FE7343E46DA5}">
  <cacheSource type="worksheet">
    <worksheetSource name="Table2017"/>
  </cacheSource>
  <cacheFields count="5">
    <cacheField name="Region" numFmtId="0">
      <sharedItems containsBlank="1" count="5">
        <s v="East"/>
        <s v="West"/>
        <s v="North"/>
        <m/>
        <s v="South"/>
      </sharedItems>
    </cacheField>
    <cacheField name="Category" numFmtId="0">
      <sharedItems containsBlank="1" count="6">
        <s v="Beverages"/>
        <s v="Food"/>
        <s v="Clothing"/>
        <s v="Furniture"/>
        <s v="Electronics"/>
        <m/>
      </sharedItems>
    </cacheField>
    <cacheField name="Column1" numFmtId="0">
      <sharedItems containsString="0" containsBlank="1" containsNumber="1" containsInteger="1" minValue="11" maxValue="498"/>
    </cacheField>
    <cacheField name="Unit Price" numFmtId="0">
      <sharedItems containsString="0" containsBlank="1" containsNumber="1" minValue="5.61" maxValue="497.76"/>
    </cacheField>
    <cacheField name="Sales" numFmtId="0">
      <sharedItems containsSemiMixedTypes="0" containsString="0" containsNumber="1" minValue="0" maxValue="239220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x v="0"/>
    <x v="0"/>
    <n v="235"/>
    <n v="152.91999999999999"/>
    <n v="35936.199999999997"/>
  </r>
  <r>
    <x v="1"/>
    <x v="1"/>
    <n v="341"/>
    <n v="467.92"/>
    <n v="159560.72"/>
  </r>
  <r>
    <x v="2"/>
    <x v="2"/>
    <n v="179"/>
    <n v="473.94"/>
    <n v="84835.26"/>
  </r>
  <r>
    <x v="0"/>
    <x v="3"/>
    <n v="18"/>
    <n v="314.52999999999997"/>
    <n v="5661.5399999999991"/>
  </r>
  <r>
    <x v="0"/>
    <x v="3"/>
    <n v="472"/>
    <n v="392.79"/>
    <n v="185396.88"/>
  </r>
  <r>
    <x v="1"/>
    <x v="2"/>
    <n v="49"/>
    <n v="308.07"/>
    <n v="15095.43"/>
  </r>
  <r>
    <x v="2"/>
    <x v="2"/>
    <n v="34"/>
    <n v="244.78"/>
    <n v="8322.52"/>
  </r>
  <r>
    <x v="2"/>
    <x v="0"/>
    <n v="270"/>
    <n v="332.11"/>
    <n v="89669.7"/>
  </r>
  <r>
    <x v="0"/>
    <x v="0"/>
    <n v="404"/>
    <n v="278.74"/>
    <n v="112610.96"/>
  </r>
  <r>
    <x v="3"/>
    <x v="3"/>
    <n v="452"/>
    <n v="300.75"/>
    <n v="135939"/>
  </r>
  <r>
    <x v="0"/>
    <x v="1"/>
    <n v="235"/>
    <n v="393"/>
    <n v="92355"/>
  </r>
  <r>
    <x v="0"/>
    <x v="3"/>
    <n v="481"/>
    <n v="243.05"/>
    <n v="116907.05"/>
  </r>
  <r>
    <x v="0"/>
    <x v="1"/>
    <n v="133"/>
    <n v="25.17"/>
    <n v="3347.61"/>
  </r>
  <r>
    <x v="0"/>
    <x v="1"/>
    <n v="472"/>
    <n v="86.18"/>
    <n v="40676.960000000006"/>
  </r>
  <r>
    <x v="1"/>
    <x v="0"/>
    <n v="47"/>
    <n v="222.11"/>
    <n v="10439.17"/>
  </r>
  <r>
    <x v="2"/>
    <x v="4"/>
    <n v="337"/>
    <n v="363.79"/>
    <n v="122597.23000000001"/>
  </r>
  <r>
    <x v="1"/>
    <x v="4"/>
    <n v="260"/>
    <n v="298.67"/>
    <n v="77654.2"/>
  </r>
  <r>
    <x v="3"/>
    <x v="2"/>
    <n v="398"/>
    <n v="326.89999999999998"/>
    <n v="130106.2"/>
  </r>
  <r>
    <x v="1"/>
    <x v="0"/>
    <n v="185"/>
    <n v="242.24"/>
    <n v="44814.400000000001"/>
  </r>
  <r>
    <x v="0"/>
    <x v="1"/>
    <n v="99"/>
    <n v="309.79000000000002"/>
    <n v="30669.210000000003"/>
  </r>
  <r>
    <x v="4"/>
    <x v="4"/>
    <n v="411"/>
    <n v="167.86"/>
    <n v="68990.460000000006"/>
  </r>
  <r>
    <x v="2"/>
    <x v="1"/>
    <n v="463"/>
    <n v="237.74"/>
    <n v="110073.62000000001"/>
  </r>
  <r>
    <x v="4"/>
    <x v="4"/>
    <n v="46"/>
    <n v="373.42"/>
    <n v="17177.32"/>
  </r>
  <r>
    <x v="1"/>
    <x v="4"/>
    <n v="325"/>
    <n v="436.56"/>
    <n v="141882"/>
  </r>
  <r>
    <x v="1"/>
    <x v="5"/>
    <n v="185"/>
    <n v="219.66"/>
    <n v="40637.1"/>
  </r>
  <r>
    <x v="4"/>
    <x v="0"/>
    <n v="470"/>
    <n v="26.61"/>
    <n v="12506.699999999999"/>
  </r>
  <r>
    <x v="4"/>
    <x v="3"/>
    <n v="293"/>
    <n v="85.03"/>
    <n v="24913.79"/>
  </r>
  <r>
    <x v="4"/>
    <x v="1"/>
    <n v="462"/>
    <m/>
    <n v="0"/>
  </r>
  <r>
    <x v="1"/>
    <x v="0"/>
    <n v="470"/>
    <n v="328.37"/>
    <n v="154333.9"/>
  </r>
  <r>
    <x v="1"/>
    <x v="0"/>
    <n v="90"/>
    <n v="169.5"/>
    <n v="15255"/>
  </r>
  <r>
    <x v="3"/>
    <x v="0"/>
    <n v="123"/>
    <n v="273.52999999999997"/>
    <n v="33644.189999999995"/>
  </r>
  <r>
    <x v="2"/>
    <x v="0"/>
    <n v="49"/>
    <n v="249.17"/>
    <n v="12209.33"/>
  </r>
  <r>
    <x v="1"/>
    <x v="0"/>
    <n v="310"/>
    <n v="45.36"/>
    <n v="14061.6"/>
  </r>
  <r>
    <x v="4"/>
    <x v="2"/>
    <n v="233"/>
    <n v="204.61"/>
    <n v="47674.130000000005"/>
  </r>
  <r>
    <x v="4"/>
    <x v="1"/>
    <n v="327"/>
    <n v="114.18"/>
    <n v="37336.86"/>
  </r>
  <r>
    <x v="2"/>
    <x v="0"/>
    <n v="358"/>
    <n v="212.11"/>
    <n v="75935.38"/>
  </r>
  <r>
    <x v="1"/>
    <x v="1"/>
    <n v="124"/>
    <m/>
    <n v="0"/>
  </r>
  <r>
    <x v="2"/>
    <x v="2"/>
    <n v="195"/>
    <n v="421.02"/>
    <n v="82098.899999999994"/>
  </r>
  <r>
    <x v="2"/>
    <x v="2"/>
    <m/>
    <n v="91.23"/>
    <n v="0"/>
  </r>
  <r>
    <x v="0"/>
    <x v="1"/>
    <n v="65"/>
    <n v="480.59"/>
    <n v="31238.35"/>
  </r>
  <r>
    <x v="0"/>
    <x v="4"/>
    <n v="49"/>
    <n v="210.87"/>
    <n v="10332.630000000001"/>
  </r>
  <r>
    <x v="0"/>
    <x v="3"/>
    <n v="363"/>
    <n v="423.89"/>
    <n v="153872.07"/>
  </r>
  <r>
    <x v="4"/>
    <x v="4"/>
    <n v="49"/>
    <n v="316.24"/>
    <n v="15495.76"/>
  </r>
  <r>
    <x v="1"/>
    <x v="4"/>
    <n v="356"/>
    <n v="369"/>
    <n v="131364"/>
  </r>
  <r>
    <x v="1"/>
    <x v="4"/>
    <n v="470"/>
    <m/>
    <n v="0"/>
  </r>
  <r>
    <x v="1"/>
    <x v="0"/>
    <n v="246"/>
    <n v="254.9"/>
    <n v="62705.4"/>
  </r>
  <r>
    <x v="1"/>
    <x v="2"/>
    <n v="298"/>
    <n v="273.93"/>
    <n v="81631.14"/>
  </r>
  <r>
    <x v="0"/>
    <x v="4"/>
    <n v="271"/>
    <n v="259.43"/>
    <n v="70305.53"/>
  </r>
  <r>
    <x v="4"/>
    <x v="2"/>
    <n v="225"/>
    <n v="296.08999999999997"/>
    <n v="66620.25"/>
  </r>
  <r>
    <x v="3"/>
    <x v="1"/>
    <n v="156"/>
    <n v="19.55"/>
    <n v="3049.8"/>
  </r>
  <r>
    <x v="0"/>
    <x v="3"/>
    <n v="345"/>
    <n v="200.78"/>
    <n v="69269.100000000006"/>
  </r>
  <r>
    <x v="4"/>
    <x v="1"/>
    <n v="177"/>
    <n v="305.06"/>
    <n v="53995.62"/>
  </r>
  <r>
    <x v="0"/>
    <x v="1"/>
    <n v="101"/>
    <n v="300.87"/>
    <n v="30387.87"/>
  </r>
  <r>
    <x v="1"/>
    <x v="0"/>
    <n v="362"/>
    <n v="397.51"/>
    <n v="143898.62"/>
  </r>
  <r>
    <x v="0"/>
    <x v="3"/>
    <n v="68"/>
    <n v="329.23"/>
    <n v="22387.64"/>
  </r>
  <r>
    <x v="1"/>
    <x v="1"/>
    <n v="68"/>
    <n v="496.11"/>
    <n v="33735.480000000003"/>
  </r>
  <r>
    <x v="1"/>
    <x v="1"/>
    <n v="313"/>
    <n v="145.51"/>
    <n v="45544.63"/>
  </r>
  <r>
    <x v="2"/>
    <x v="3"/>
    <n v="178"/>
    <n v="182.78"/>
    <n v="32534.84"/>
  </r>
  <r>
    <x v="0"/>
    <x v="3"/>
    <n v="278"/>
    <n v="195"/>
    <n v="54210"/>
  </r>
  <r>
    <x v="2"/>
    <x v="1"/>
    <n v="372"/>
    <n v="235.58"/>
    <n v="87635.760000000009"/>
  </r>
  <r>
    <x v="0"/>
    <x v="3"/>
    <n v="54"/>
    <n v="418.82"/>
    <n v="22616.28"/>
  </r>
  <r>
    <x v="0"/>
    <x v="1"/>
    <n v="354"/>
    <n v="121.72"/>
    <n v="43088.88"/>
  </r>
  <r>
    <x v="2"/>
    <x v="1"/>
    <n v="190"/>
    <n v="389.12"/>
    <n v="73932.800000000003"/>
  </r>
  <r>
    <x v="3"/>
    <x v="0"/>
    <n v="179"/>
    <n v="205.63"/>
    <n v="36807.769999999997"/>
  </r>
  <r>
    <x v="0"/>
    <x v="4"/>
    <n v="365"/>
    <n v="302.92"/>
    <n v="110565.8"/>
  </r>
  <r>
    <x v="4"/>
    <x v="1"/>
    <n v="200"/>
    <n v="318.11"/>
    <n v="63622"/>
  </r>
  <r>
    <x v="1"/>
    <x v="2"/>
    <n v="164"/>
    <n v="189.56"/>
    <n v="31087.84"/>
  </r>
  <r>
    <x v="2"/>
    <x v="4"/>
    <n v="431"/>
    <n v="258.74"/>
    <n v="111516.94"/>
  </r>
  <r>
    <x v="1"/>
    <x v="4"/>
    <n v="197"/>
    <n v="209.45"/>
    <n v="41261.649999999994"/>
  </r>
  <r>
    <x v="4"/>
    <x v="4"/>
    <n v="16"/>
    <n v="39.22"/>
    <n v="627.52"/>
  </r>
  <r>
    <x v="4"/>
    <x v="0"/>
    <n v="142"/>
    <n v="221.4"/>
    <n v="31438.799999999999"/>
  </r>
  <r>
    <x v="4"/>
    <x v="1"/>
    <n v="244"/>
    <n v="53.21"/>
    <n v="12983.24"/>
  </r>
  <r>
    <x v="2"/>
    <x v="0"/>
    <n v="54"/>
    <n v="205.49"/>
    <n v="11096.460000000001"/>
  </r>
  <r>
    <x v="4"/>
    <x v="1"/>
    <n v="323"/>
    <n v="298.49"/>
    <n v="96412.27"/>
  </r>
  <r>
    <x v="2"/>
    <x v="0"/>
    <n v="258"/>
    <n v="291.81"/>
    <n v="75286.98"/>
  </r>
  <r>
    <x v="4"/>
    <x v="0"/>
    <n v="40"/>
    <n v="333"/>
    <n v="13320"/>
  </r>
  <r>
    <x v="1"/>
    <x v="2"/>
    <n v="32"/>
    <n v="52.15"/>
    <n v="1668.8"/>
  </r>
  <r>
    <x v="1"/>
    <x v="0"/>
    <n v="435"/>
    <n v="327.8"/>
    <n v="142593"/>
  </r>
  <r>
    <x v="0"/>
    <x v="3"/>
    <n v="403"/>
    <n v="159.51"/>
    <n v="64282.53"/>
  </r>
  <r>
    <x v="1"/>
    <x v="2"/>
    <n v="169"/>
    <m/>
    <n v="0"/>
  </r>
  <r>
    <x v="0"/>
    <x v="0"/>
    <n v="372"/>
    <n v="429.7"/>
    <n v="159848.4"/>
  </r>
  <r>
    <x v="1"/>
    <x v="4"/>
    <n v="446"/>
    <n v="9.4700000000000006"/>
    <n v="4223.62"/>
  </r>
  <r>
    <x v="2"/>
    <x v="3"/>
    <n v="167"/>
    <n v="296.26"/>
    <n v="49475.42"/>
  </r>
  <r>
    <x v="1"/>
    <x v="3"/>
    <n v="48"/>
    <n v="301.36"/>
    <n v="14465.28"/>
  </r>
  <r>
    <x v="0"/>
    <x v="3"/>
    <n v="424"/>
    <n v="201.35"/>
    <n v="85372.4"/>
  </r>
  <r>
    <x v="0"/>
    <x v="2"/>
    <n v="91"/>
    <n v="122.33"/>
    <n v="11132.03"/>
  </r>
  <r>
    <x v="4"/>
    <x v="0"/>
    <n v="365"/>
    <n v="121.16"/>
    <n v="44223.4"/>
  </r>
  <r>
    <x v="2"/>
    <x v="0"/>
    <n v="267"/>
    <n v="442.44"/>
    <n v="118131.48"/>
  </r>
  <r>
    <x v="1"/>
    <x v="4"/>
    <n v="215"/>
    <n v="223.8"/>
    <n v="48117"/>
  </r>
  <r>
    <x v="4"/>
    <x v="4"/>
    <n v="86"/>
    <n v="168.79"/>
    <n v="14515.939999999999"/>
  </r>
  <r>
    <x v="1"/>
    <x v="3"/>
    <n v="486"/>
    <n v="227.14"/>
    <n v="110390.04"/>
  </r>
  <r>
    <x v="1"/>
    <x v="4"/>
    <n v="21"/>
    <m/>
    <n v="0"/>
  </r>
  <r>
    <x v="4"/>
    <x v="2"/>
    <n v="304"/>
    <n v="77.150000000000006"/>
    <n v="23453.600000000002"/>
  </r>
  <r>
    <x v="4"/>
    <x v="0"/>
    <n v="459"/>
    <n v="227.47"/>
    <n v="104408.73"/>
  </r>
  <r>
    <x v="4"/>
    <x v="3"/>
    <n v="233"/>
    <n v="296"/>
    <n v="68968"/>
  </r>
  <r>
    <x v="4"/>
    <x v="4"/>
    <n v="22"/>
    <n v="474.55"/>
    <n v="10440.1"/>
  </r>
  <r>
    <x v="4"/>
    <x v="2"/>
    <n v="55"/>
    <n v="130"/>
    <n v="7150"/>
  </r>
  <r>
    <x v="1"/>
    <x v="2"/>
    <n v="164"/>
    <n v="182.83"/>
    <n v="29984.120000000003"/>
  </r>
  <r>
    <x v="4"/>
    <x v="4"/>
    <n v="122"/>
    <n v="192.78"/>
    <n v="23519.16"/>
  </r>
  <r>
    <x v="2"/>
    <x v="0"/>
    <n v="242"/>
    <n v="304.74"/>
    <n v="73747.08"/>
  </r>
  <r>
    <x v="0"/>
    <x v="4"/>
    <n v="26"/>
    <n v="181.58"/>
    <n v="4721.08"/>
  </r>
  <r>
    <x v="4"/>
    <x v="3"/>
    <n v="369"/>
    <n v="269.08999999999997"/>
    <n v="99294.209999999992"/>
  </r>
  <r>
    <x v="4"/>
    <x v="4"/>
    <n v="232"/>
    <n v="391.99"/>
    <n v="90941.680000000008"/>
  </r>
  <r>
    <x v="1"/>
    <x v="2"/>
    <n v="363"/>
    <n v="354.17"/>
    <n v="128563.71"/>
  </r>
  <r>
    <x v="4"/>
    <x v="4"/>
    <n v="197"/>
    <n v="225.95"/>
    <n v="44512.149999999994"/>
  </r>
  <r>
    <x v="4"/>
    <x v="0"/>
    <n v="457"/>
    <n v="432.79"/>
    <n v="197785.03"/>
  </r>
  <r>
    <x v="4"/>
    <x v="1"/>
    <n v="353"/>
    <n v="281.27999999999997"/>
    <n v="99291.839999999997"/>
  </r>
  <r>
    <x v="1"/>
    <x v="4"/>
    <n v="374"/>
    <n v="272.25"/>
    <n v="101821.5"/>
  </r>
  <r>
    <x v="4"/>
    <x v="0"/>
    <n v="172"/>
    <n v="21.92"/>
    <n v="3770.2400000000002"/>
  </r>
  <r>
    <x v="0"/>
    <x v="0"/>
    <n v="335"/>
    <n v="493.41"/>
    <n v="165292.35"/>
  </r>
  <r>
    <x v="1"/>
    <x v="2"/>
    <n v="476"/>
    <n v="65.87"/>
    <n v="31354.120000000003"/>
  </r>
  <r>
    <x v="0"/>
    <x v="0"/>
    <n v="423"/>
    <n v="119.41"/>
    <n v="50510.43"/>
  </r>
  <r>
    <x v="1"/>
    <x v="0"/>
    <n v="464"/>
    <n v="30.59"/>
    <n v="14193.76"/>
  </r>
  <r>
    <x v="4"/>
    <x v="0"/>
    <n v="83"/>
    <n v="321.8"/>
    <n v="26709.4"/>
  </r>
  <r>
    <x v="0"/>
    <x v="0"/>
    <n v="242"/>
    <n v="116.23"/>
    <n v="28127.66"/>
  </r>
  <r>
    <x v="1"/>
    <x v="3"/>
    <n v="233"/>
    <n v="94.11"/>
    <n v="21927.63"/>
  </r>
  <r>
    <x v="2"/>
    <x v="3"/>
    <n v="491"/>
    <n v="48.84"/>
    <n v="23980.440000000002"/>
  </r>
  <r>
    <x v="3"/>
    <x v="2"/>
    <n v="328"/>
    <n v="56.14"/>
    <n v="18413.920000000002"/>
  </r>
  <r>
    <x v="1"/>
    <x v="4"/>
    <n v="421"/>
    <n v="294.41000000000003"/>
    <n v="123946.61000000002"/>
  </r>
  <r>
    <x v="2"/>
    <x v="0"/>
    <n v="69"/>
    <n v="345.66"/>
    <n v="23850.54"/>
  </r>
  <r>
    <x v="1"/>
    <x v="4"/>
    <n v="344"/>
    <n v="201.7"/>
    <n v="69384.800000000003"/>
  </r>
  <r>
    <x v="3"/>
    <x v="4"/>
    <n v="231"/>
    <n v="242.55"/>
    <n v="56029.05"/>
  </r>
  <r>
    <x v="4"/>
    <x v="2"/>
    <n v="46"/>
    <n v="344.55"/>
    <n v="15849.300000000001"/>
  </r>
  <r>
    <x v="0"/>
    <x v="0"/>
    <n v="486"/>
    <n v="13.6"/>
    <n v="6609.5999999999995"/>
  </r>
  <r>
    <x v="2"/>
    <x v="0"/>
    <n v="287"/>
    <n v="164.95"/>
    <n v="47340.649999999994"/>
  </r>
  <r>
    <x v="1"/>
    <x v="1"/>
    <n v="205"/>
    <n v="486.68"/>
    <n v="99769.4"/>
  </r>
  <r>
    <x v="4"/>
    <x v="4"/>
    <n v="413"/>
    <n v="292.16000000000003"/>
    <n v="120662.08000000002"/>
  </r>
  <r>
    <x v="2"/>
    <x v="4"/>
    <n v="361"/>
    <n v="130.84"/>
    <n v="47233.24"/>
  </r>
  <r>
    <x v="1"/>
    <x v="3"/>
    <n v="493"/>
    <n v="263.26"/>
    <n v="129787.18"/>
  </r>
  <r>
    <x v="1"/>
    <x v="1"/>
    <n v="251"/>
    <n v="174.61"/>
    <n v="43827.11"/>
  </r>
  <r>
    <x v="1"/>
    <x v="3"/>
    <m/>
    <n v="268.45999999999998"/>
    <n v="0"/>
  </r>
  <r>
    <x v="2"/>
    <x v="3"/>
    <n v="228"/>
    <n v="67.239999999999995"/>
    <n v="15330.72"/>
  </r>
  <r>
    <x v="2"/>
    <x v="3"/>
    <n v="201"/>
    <n v="70.69"/>
    <n v="14208.689999999999"/>
  </r>
  <r>
    <x v="2"/>
    <x v="2"/>
    <n v="26"/>
    <n v="76.05"/>
    <n v="1977.3"/>
  </r>
  <r>
    <x v="0"/>
    <x v="2"/>
    <n v="21"/>
    <n v="470.21"/>
    <n v="9874.41"/>
  </r>
  <r>
    <x v="2"/>
    <x v="3"/>
    <n v="415"/>
    <n v="367.78"/>
    <n v="152628.69999999998"/>
  </r>
  <r>
    <x v="2"/>
    <x v="1"/>
    <n v="410"/>
    <n v="85.38"/>
    <n v="35005.799999999996"/>
  </r>
  <r>
    <x v="2"/>
    <x v="4"/>
    <n v="403"/>
    <n v="98.23"/>
    <n v="39586.69"/>
  </r>
  <r>
    <x v="0"/>
    <x v="1"/>
    <n v="383"/>
    <n v="366.76"/>
    <n v="140469.07999999999"/>
  </r>
  <r>
    <x v="2"/>
    <x v="0"/>
    <n v="202"/>
    <n v="82.3"/>
    <n v="16624.599999999999"/>
  </r>
  <r>
    <x v="1"/>
    <x v="2"/>
    <n v="31"/>
    <n v="121.11"/>
    <n v="3754.41"/>
  </r>
  <r>
    <x v="2"/>
    <x v="4"/>
    <n v="483"/>
    <n v="481.86"/>
    <n v="232738.38"/>
  </r>
  <r>
    <x v="1"/>
    <x v="4"/>
    <n v="129"/>
    <n v="131.38"/>
    <n v="16948.02"/>
  </r>
  <r>
    <x v="1"/>
    <x v="0"/>
    <n v="219"/>
    <n v="332.51"/>
    <n v="72819.69"/>
  </r>
  <r>
    <x v="1"/>
    <x v="0"/>
    <n v="315"/>
    <n v="489.42"/>
    <n v="154167.30000000002"/>
  </r>
  <r>
    <x v="0"/>
    <x v="3"/>
    <n v="279"/>
    <n v="190.28"/>
    <n v="53088.12"/>
  </r>
  <r>
    <x v="0"/>
    <x v="2"/>
    <n v="201"/>
    <n v="13.67"/>
    <n v="2747.67"/>
  </r>
  <r>
    <x v="0"/>
    <x v="2"/>
    <n v="184"/>
    <n v="125.85"/>
    <n v="23156.399999999998"/>
  </r>
  <r>
    <x v="2"/>
    <x v="1"/>
    <n v="294"/>
    <n v="416.28"/>
    <n v="122386.31999999999"/>
  </r>
  <r>
    <x v="1"/>
    <x v="3"/>
    <n v="213"/>
    <n v="432.98"/>
    <n v="92224.74"/>
  </r>
  <r>
    <x v="0"/>
    <x v="3"/>
    <n v="173"/>
    <n v="385.42"/>
    <n v="66677.66"/>
  </r>
  <r>
    <x v="0"/>
    <x v="3"/>
    <n v="260"/>
    <n v="60.99"/>
    <n v="15857.4"/>
  </r>
  <r>
    <x v="2"/>
    <x v="3"/>
    <n v="236"/>
    <n v="398.78"/>
    <n v="94112.079999999987"/>
  </r>
  <r>
    <x v="0"/>
    <x v="2"/>
    <n v="445"/>
    <n v="459.75"/>
    <n v="204588.75"/>
  </r>
  <r>
    <x v="2"/>
    <x v="2"/>
    <n v="390"/>
    <n v="302.3"/>
    <n v="117897"/>
  </r>
  <r>
    <x v="4"/>
    <x v="3"/>
    <n v="469"/>
    <n v="470.73"/>
    <n v="220772.37"/>
  </r>
  <r>
    <x v="0"/>
    <x v="1"/>
    <n v="16"/>
    <m/>
    <n v="0"/>
  </r>
  <r>
    <x v="4"/>
    <x v="4"/>
    <n v="38"/>
    <n v="335.15"/>
    <n v="12735.699999999999"/>
  </r>
  <r>
    <x v="2"/>
    <x v="5"/>
    <n v="404"/>
    <n v="290.70999999999998"/>
    <n v="117446.84"/>
  </r>
  <r>
    <x v="1"/>
    <x v="1"/>
    <n v="42"/>
    <n v="177.54"/>
    <n v="7456.6799999999994"/>
  </r>
  <r>
    <x v="0"/>
    <x v="3"/>
    <n v="143"/>
    <n v="83.85"/>
    <n v="11990.55"/>
  </r>
  <r>
    <x v="2"/>
    <x v="2"/>
    <n v="376"/>
    <n v="304.45"/>
    <n v="114473.2"/>
  </r>
  <r>
    <x v="1"/>
    <x v="4"/>
    <n v="88"/>
    <n v="162.47"/>
    <n v="14297.36"/>
  </r>
  <r>
    <x v="1"/>
    <x v="0"/>
    <n v="425"/>
    <n v="433.89"/>
    <n v="184403.25"/>
  </r>
  <r>
    <x v="4"/>
    <x v="0"/>
    <n v="444"/>
    <n v="496.7"/>
    <n v="220534.8"/>
  </r>
  <r>
    <x v="2"/>
    <x v="1"/>
    <n v="468"/>
    <n v="377.45"/>
    <n v="176646.6"/>
  </r>
  <r>
    <x v="1"/>
    <x v="3"/>
    <n v="67"/>
    <n v="49.79"/>
    <n v="3335.93"/>
  </r>
  <r>
    <x v="0"/>
    <x v="4"/>
    <n v="480"/>
    <n v="147.9"/>
    <n v="70992"/>
  </r>
  <r>
    <x v="0"/>
    <x v="3"/>
    <n v="35"/>
    <n v="59.01"/>
    <n v="2065.35"/>
  </r>
  <r>
    <x v="4"/>
    <x v="4"/>
    <n v="491"/>
    <n v="327"/>
    <n v="160557"/>
  </r>
  <r>
    <x v="1"/>
    <x v="1"/>
    <n v="439"/>
    <n v="383.77"/>
    <n v="168475.03"/>
  </r>
  <r>
    <x v="2"/>
    <x v="1"/>
    <n v="235"/>
    <n v="463.21"/>
    <n v="108854.34999999999"/>
  </r>
  <r>
    <x v="0"/>
    <x v="0"/>
    <n v="294"/>
    <n v="221.9"/>
    <n v="65238.6"/>
  </r>
  <r>
    <x v="1"/>
    <x v="3"/>
    <n v="13"/>
    <n v="451.18"/>
    <n v="5865.34"/>
  </r>
  <r>
    <x v="1"/>
    <x v="0"/>
    <n v="474"/>
    <n v="439.56"/>
    <n v="208351.44"/>
  </r>
  <r>
    <x v="4"/>
    <x v="3"/>
    <n v="108"/>
    <n v="162.01"/>
    <n v="17497.079999999998"/>
  </r>
  <r>
    <x v="0"/>
    <x v="0"/>
    <n v="406"/>
    <n v="435.11"/>
    <n v="176654.66"/>
  </r>
  <r>
    <x v="0"/>
    <x v="2"/>
    <n v="498"/>
    <n v="190.96"/>
    <n v="95098.08"/>
  </r>
  <r>
    <x v="2"/>
    <x v="2"/>
    <n v="48"/>
    <n v="151.94999999999999"/>
    <n v="7293.5999999999995"/>
  </r>
  <r>
    <x v="0"/>
    <x v="2"/>
    <n v="280"/>
    <n v="326.29000000000002"/>
    <n v="91361.200000000012"/>
  </r>
  <r>
    <x v="2"/>
    <x v="2"/>
    <n v="384"/>
    <n v="167.55"/>
    <n v="64339.200000000004"/>
  </r>
  <r>
    <x v="0"/>
    <x v="4"/>
    <n v="294"/>
    <n v="316.95"/>
    <n v="93183.3"/>
  </r>
  <r>
    <x v="4"/>
    <x v="2"/>
    <n v="166"/>
    <n v="306.87"/>
    <n v="50940.42"/>
  </r>
  <r>
    <x v="0"/>
    <x v="1"/>
    <n v="84"/>
    <n v="283.89999999999998"/>
    <n v="23847.599999999999"/>
  </r>
  <r>
    <x v="2"/>
    <x v="1"/>
    <n v="381"/>
    <n v="193.31"/>
    <n v="73651.11"/>
  </r>
  <r>
    <x v="2"/>
    <x v="4"/>
    <n v="297"/>
    <n v="276.51"/>
    <n v="82123.47"/>
  </r>
  <r>
    <x v="4"/>
    <x v="2"/>
    <n v="139"/>
    <n v="300.26"/>
    <n v="41736.14"/>
  </r>
  <r>
    <x v="0"/>
    <x v="2"/>
    <n v="184"/>
    <n v="275.12"/>
    <n v="50622.080000000002"/>
  </r>
  <r>
    <x v="0"/>
    <x v="2"/>
    <n v="471"/>
    <n v="224.99"/>
    <n v="105970.29000000001"/>
  </r>
  <r>
    <x v="4"/>
    <x v="0"/>
    <n v="93"/>
    <n v="12.26"/>
    <n v="1140.18"/>
  </r>
  <r>
    <x v="0"/>
    <x v="3"/>
    <n v="31"/>
    <n v="295.60000000000002"/>
    <n v="9163.6"/>
  </r>
  <r>
    <x v="0"/>
    <x v="0"/>
    <n v="468"/>
    <n v="88.38"/>
    <n v="41361.839999999997"/>
  </r>
  <r>
    <x v="2"/>
    <x v="3"/>
    <n v="36"/>
    <n v="323.08"/>
    <n v="11630.88"/>
  </r>
  <r>
    <x v="0"/>
    <x v="2"/>
    <n v="204"/>
    <n v="380.88"/>
    <n v="77699.520000000004"/>
  </r>
  <r>
    <x v="0"/>
    <x v="2"/>
    <n v="346"/>
    <n v="252.72"/>
    <n v="87441.12"/>
  </r>
  <r>
    <x v="4"/>
    <x v="0"/>
    <n v="391"/>
    <n v="273.47000000000003"/>
    <n v="106926.77"/>
  </r>
  <r>
    <x v="4"/>
    <x v="0"/>
    <n v="245"/>
    <n v="475.98"/>
    <n v="116615.1"/>
  </r>
  <r>
    <x v="1"/>
    <x v="3"/>
    <n v="449"/>
    <n v="424.35"/>
    <n v="190533.15000000002"/>
  </r>
  <r>
    <x v="2"/>
    <x v="1"/>
    <n v="101"/>
    <n v="457.55"/>
    <n v="46212.55"/>
  </r>
  <r>
    <x v="0"/>
    <x v="3"/>
    <m/>
    <n v="407.81"/>
    <n v="0"/>
  </r>
  <r>
    <x v="0"/>
    <x v="0"/>
    <n v="30"/>
    <n v="58.91"/>
    <n v="1767.3"/>
  </r>
  <r>
    <x v="1"/>
    <x v="0"/>
    <n v="312"/>
    <n v="78.75"/>
    <n v="24570"/>
  </r>
  <r>
    <x v="0"/>
    <x v="4"/>
    <n v="473"/>
    <n v="265.68"/>
    <n v="125666.64"/>
  </r>
  <r>
    <x v="2"/>
    <x v="0"/>
    <n v="366"/>
    <n v="126.8"/>
    <n v="46408.799999999996"/>
  </r>
  <r>
    <x v="1"/>
    <x v="4"/>
    <n v="452"/>
    <n v="240.96"/>
    <n v="108913.92"/>
  </r>
  <r>
    <x v="2"/>
    <x v="1"/>
    <n v="93"/>
    <n v="200.21"/>
    <n v="18619.530000000002"/>
  </r>
  <r>
    <x v="1"/>
    <x v="3"/>
    <n v="271"/>
    <n v="276.95999999999998"/>
    <n v="75056.159999999989"/>
  </r>
  <r>
    <x v="1"/>
    <x v="3"/>
    <n v="156"/>
    <n v="374.7"/>
    <n v="58453.2"/>
  </r>
  <r>
    <x v="4"/>
    <x v="4"/>
    <n v="450"/>
    <n v="359.17"/>
    <n v="161626.5"/>
  </r>
  <r>
    <x v="2"/>
    <x v="3"/>
    <n v="462"/>
    <n v="263.01"/>
    <n v="121510.62"/>
  </r>
  <r>
    <x v="0"/>
    <x v="5"/>
    <n v="396"/>
    <n v="412.08"/>
    <n v="163183.67999999999"/>
  </r>
  <r>
    <x v="0"/>
    <x v="2"/>
    <n v="266"/>
    <n v="218.28"/>
    <n v="58062.48"/>
  </r>
  <r>
    <x v="2"/>
    <x v="4"/>
    <n v="67"/>
    <n v="448.87"/>
    <n v="30074.29"/>
  </r>
  <r>
    <x v="0"/>
    <x v="3"/>
    <n v="389"/>
    <n v="40.28"/>
    <n v="15668.92"/>
  </r>
  <r>
    <x v="0"/>
    <x v="4"/>
    <n v="431"/>
    <n v="477.56"/>
    <n v="205828.36000000002"/>
  </r>
  <r>
    <x v="2"/>
    <x v="4"/>
    <n v="24"/>
    <n v="329.07"/>
    <n v="7897.68"/>
  </r>
  <r>
    <x v="1"/>
    <x v="2"/>
    <n v="171"/>
    <n v="193.14"/>
    <n v="33026.939999999995"/>
  </r>
  <r>
    <x v="2"/>
    <x v="0"/>
    <n v="454"/>
    <n v="102.59"/>
    <n v="46575.86"/>
  </r>
  <r>
    <x v="1"/>
    <x v="4"/>
    <n v="172"/>
    <n v="242.2"/>
    <n v="41658.400000000001"/>
  </r>
  <r>
    <x v="0"/>
    <x v="3"/>
    <n v="329"/>
    <n v="101.31"/>
    <n v="33330.99"/>
  </r>
  <r>
    <x v="0"/>
    <x v="1"/>
    <n v="290"/>
    <n v="87.33"/>
    <n v="25325.7"/>
  </r>
  <r>
    <x v="3"/>
    <x v="4"/>
    <n v="289"/>
    <n v="310.58999999999997"/>
    <n v="89760.51"/>
  </r>
  <r>
    <x v="4"/>
    <x v="4"/>
    <n v="21"/>
    <n v="263.93"/>
    <n v="5542.53"/>
  </r>
  <r>
    <x v="1"/>
    <x v="2"/>
    <n v="283"/>
    <n v="336.7"/>
    <n v="95286.099999999991"/>
  </r>
  <r>
    <x v="4"/>
    <x v="0"/>
    <n v="280"/>
    <n v="465.15"/>
    <n v="130242"/>
  </r>
  <r>
    <x v="4"/>
    <x v="1"/>
    <n v="217"/>
    <n v="268.47000000000003"/>
    <n v="58257.990000000005"/>
  </r>
  <r>
    <x v="2"/>
    <x v="3"/>
    <n v="36"/>
    <n v="292.56"/>
    <n v="10532.16"/>
  </r>
  <r>
    <x v="4"/>
    <x v="1"/>
    <m/>
    <n v="49.37"/>
    <n v="0"/>
  </r>
  <r>
    <x v="2"/>
    <x v="3"/>
    <n v="69"/>
    <n v="360.23"/>
    <n v="24855.870000000003"/>
  </r>
  <r>
    <x v="2"/>
    <x v="0"/>
    <n v="439"/>
    <n v="202.95"/>
    <n v="89095.049999999988"/>
  </r>
  <r>
    <x v="4"/>
    <x v="3"/>
    <n v="482"/>
    <n v="488.48"/>
    <n v="235447.36000000002"/>
  </r>
  <r>
    <x v="1"/>
    <x v="2"/>
    <n v="154"/>
    <n v="412.47"/>
    <n v="63520.380000000005"/>
  </r>
  <r>
    <x v="1"/>
    <x v="2"/>
    <n v="102"/>
    <n v="263.63"/>
    <n v="26890.26"/>
  </r>
  <r>
    <x v="1"/>
    <x v="2"/>
    <n v="318"/>
    <n v="66"/>
    <n v="20988"/>
  </r>
  <r>
    <x v="1"/>
    <x v="2"/>
    <n v="17"/>
    <n v="430.41"/>
    <n v="7316.97"/>
  </r>
  <r>
    <x v="1"/>
    <x v="1"/>
    <n v="88"/>
    <n v="400.89"/>
    <n v="35278.32"/>
  </r>
  <r>
    <x v="4"/>
    <x v="0"/>
    <n v="36"/>
    <n v="96.37"/>
    <n v="3469.32"/>
  </r>
  <r>
    <x v="4"/>
    <x v="3"/>
    <n v="183"/>
    <n v="151.16"/>
    <n v="27662.28"/>
  </r>
  <r>
    <x v="0"/>
    <x v="3"/>
    <n v="59"/>
    <n v="397.74"/>
    <n v="23466.66"/>
  </r>
  <r>
    <x v="1"/>
    <x v="2"/>
    <n v="208"/>
    <n v="96.69"/>
    <n v="20111.52"/>
  </r>
  <r>
    <x v="4"/>
    <x v="2"/>
    <n v="396"/>
    <n v="459.29"/>
    <n v="181878.84"/>
  </r>
  <r>
    <x v="0"/>
    <x v="4"/>
    <n v="358"/>
    <n v="215.14"/>
    <n v="77020.12"/>
  </r>
  <r>
    <x v="1"/>
    <x v="0"/>
    <n v="457"/>
    <n v="48.08"/>
    <n v="21972.559999999998"/>
  </r>
  <r>
    <x v="2"/>
    <x v="1"/>
    <n v="437"/>
    <n v="408.8"/>
    <n v="178645.6"/>
  </r>
  <r>
    <x v="0"/>
    <x v="3"/>
    <n v="190"/>
    <n v="189.89"/>
    <n v="36079.1"/>
  </r>
  <r>
    <x v="4"/>
    <x v="4"/>
    <n v="33"/>
    <n v="265.62"/>
    <n v="8765.4600000000009"/>
  </r>
  <r>
    <x v="2"/>
    <x v="4"/>
    <n v="325"/>
    <n v="60.59"/>
    <n v="19691.75"/>
  </r>
  <r>
    <x v="2"/>
    <x v="3"/>
    <n v="387"/>
    <n v="6.28"/>
    <n v="2430.36"/>
  </r>
  <r>
    <x v="2"/>
    <x v="1"/>
    <n v="396"/>
    <n v="320.8"/>
    <n v="127036.8"/>
  </r>
  <r>
    <x v="0"/>
    <x v="4"/>
    <n v="413"/>
    <n v="260.01"/>
    <n v="107384.12999999999"/>
  </r>
  <r>
    <x v="4"/>
    <x v="4"/>
    <m/>
    <n v="298.8"/>
    <n v="0"/>
  </r>
  <r>
    <x v="2"/>
    <x v="0"/>
    <n v="24"/>
    <n v="397.9"/>
    <n v="9549.5999999999985"/>
  </r>
  <r>
    <x v="1"/>
    <x v="5"/>
    <n v="162"/>
    <n v="325.07"/>
    <n v="52661.34"/>
  </r>
  <r>
    <x v="2"/>
    <x v="4"/>
    <n v="231"/>
    <n v="91.51"/>
    <n v="21138.81"/>
  </r>
  <r>
    <x v="2"/>
    <x v="1"/>
    <n v="215"/>
    <n v="183.58"/>
    <n v="39469.700000000004"/>
  </r>
  <r>
    <x v="0"/>
    <x v="3"/>
    <n v="464"/>
    <n v="453.42"/>
    <n v="210386.88"/>
  </r>
  <r>
    <x v="0"/>
    <x v="2"/>
    <n v="282"/>
    <m/>
    <n v="0"/>
  </r>
  <r>
    <x v="4"/>
    <x v="4"/>
    <n v="391"/>
    <n v="280.54000000000002"/>
    <n v="109691.14000000001"/>
  </r>
  <r>
    <x v="1"/>
    <x v="0"/>
    <n v="245"/>
    <n v="131.54"/>
    <n v="32227.3"/>
  </r>
  <r>
    <x v="0"/>
    <x v="3"/>
    <n v="349"/>
    <n v="154.52000000000001"/>
    <n v="53927.48"/>
  </r>
  <r>
    <x v="2"/>
    <x v="1"/>
    <n v="237"/>
    <m/>
    <n v="0"/>
  </r>
  <r>
    <x v="4"/>
    <x v="3"/>
    <n v="18"/>
    <n v="426.33"/>
    <n v="7673.94"/>
  </r>
  <r>
    <x v="2"/>
    <x v="4"/>
    <n v="175"/>
    <n v="337.36"/>
    <n v="59038"/>
  </r>
  <r>
    <x v="2"/>
    <x v="5"/>
    <n v="441"/>
    <n v="405.72"/>
    <n v="178922.52000000002"/>
  </r>
  <r>
    <x v="0"/>
    <x v="2"/>
    <n v="453"/>
    <n v="384.49"/>
    <n v="174173.97"/>
  </r>
  <r>
    <x v="4"/>
    <x v="3"/>
    <n v="328"/>
    <n v="79.099999999999994"/>
    <n v="25944.799999999999"/>
  </r>
  <r>
    <x v="1"/>
    <x v="4"/>
    <n v="223"/>
    <n v="214.85"/>
    <n v="47911.549999999996"/>
  </r>
  <r>
    <x v="1"/>
    <x v="0"/>
    <n v="126"/>
    <n v="80.73"/>
    <n v="10171.980000000001"/>
  </r>
  <r>
    <x v="0"/>
    <x v="1"/>
    <n v="395"/>
    <n v="121.44"/>
    <n v="47968.799999999996"/>
  </r>
  <r>
    <x v="0"/>
    <x v="3"/>
    <n v="353"/>
    <n v="435.28"/>
    <n v="153653.84"/>
  </r>
  <r>
    <x v="4"/>
    <x v="3"/>
    <n v="81"/>
    <n v="239.08"/>
    <n v="19365.48"/>
  </r>
  <r>
    <x v="1"/>
    <x v="2"/>
    <n v="404"/>
    <n v="270"/>
    <n v="109080"/>
  </r>
  <r>
    <x v="1"/>
    <x v="2"/>
    <n v="73"/>
    <n v="93.33"/>
    <n v="6813.09"/>
  </r>
  <r>
    <x v="1"/>
    <x v="0"/>
    <n v="214"/>
    <n v="159.57"/>
    <n v="34147.979999999996"/>
  </r>
  <r>
    <x v="2"/>
    <x v="0"/>
    <n v="218"/>
    <n v="118.97"/>
    <n v="25935.46"/>
  </r>
  <r>
    <x v="1"/>
    <x v="4"/>
    <n v="81"/>
    <n v="107.06"/>
    <n v="8671.86"/>
  </r>
  <r>
    <x v="2"/>
    <x v="4"/>
    <n v="286"/>
    <n v="320.79000000000002"/>
    <n v="91745.94"/>
  </r>
  <r>
    <x v="4"/>
    <x v="0"/>
    <n v="283"/>
    <n v="132.16"/>
    <n v="37401.279999999999"/>
  </r>
  <r>
    <x v="2"/>
    <x v="0"/>
    <n v="487"/>
    <n v="317.85000000000002"/>
    <n v="154792.95000000001"/>
  </r>
  <r>
    <x v="4"/>
    <x v="1"/>
    <n v="329"/>
    <n v="33.94"/>
    <n v="11166.259999999998"/>
  </r>
  <r>
    <x v="1"/>
    <x v="2"/>
    <n v="347"/>
    <n v="75.180000000000007"/>
    <n v="26087.460000000003"/>
  </r>
  <r>
    <x v="1"/>
    <x v="4"/>
    <n v="375"/>
    <n v="140.9"/>
    <n v="52837.5"/>
  </r>
  <r>
    <x v="4"/>
    <x v="2"/>
    <n v="104"/>
    <n v="300.54000000000002"/>
    <n v="31256.160000000003"/>
  </r>
  <r>
    <x v="0"/>
    <x v="5"/>
    <n v="175"/>
    <n v="339.54"/>
    <n v="59419.5"/>
  </r>
  <r>
    <x v="4"/>
    <x v="0"/>
    <n v="41"/>
    <n v="224.14"/>
    <n v="9189.74"/>
  </r>
  <r>
    <x v="0"/>
    <x v="1"/>
    <n v="20"/>
    <n v="225.67"/>
    <n v="4513.3999999999996"/>
  </r>
  <r>
    <x v="2"/>
    <x v="3"/>
    <n v="310"/>
    <n v="363.64"/>
    <n v="112728.4"/>
  </r>
  <r>
    <x v="2"/>
    <x v="1"/>
    <n v="226"/>
    <m/>
    <n v="0"/>
  </r>
  <r>
    <x v="2"/>
    <x v="1"/>
    <m/>
    <n v="173.84"/>
    <n v="0"/>
  </r>
  <r>
    <x v="1"/>
    <x v="2"/>
    <n v="111"/>
    <n v="410.26"/>
    <n v="45538.86"/>
  </r>
  <r>
    <x v="2"/>
    <x v="1"/>
    <n v="434"/>
    <n v="303.58999999999997"/>
    <n v="131758.06"/>
  </r>
  <r>
    <x v="0"/>
    <x v="4"/>
    <n v="401"/>
    <n v="171.93"/>
    <n v="68943.930000000008"/>
  </r>
  <r>
    <x v="2"/>
    <x v="2"/>
    <n v="276"/>
    <n v="453.23"/>
    <n v="125091.48000000001"/>
  </r>
  <r>
    <x v="4"/>
    <x v="4"/>
    <m/>
    <n v="387.45"/>
    <n v="0"/>
  </r>
  <r>
    <x v="4"/>
    <x v="3"/>
    <n v="188"/>
    <n v="136.12"/>
    <n v="25590.560000000001"/>
  </r>
  <r>
    <x v="1"/>
    <x v="2"/>
    <n v="97"/>
    <n v="324.42"/>
    <n v="31468.74"/>
  </r>
  <r>
    <x v="4"/>
    <x v="3"/>
    <n v="50"/>
    <n v="299.89999999999998"/>
    <n v="14994.999999999998"/>
  </r>
  <r>
    <x v="0"/>
    <x v="2"/>
    <n v="410"/>
    <n v="203.59"/>
    <n v="83471.899999999994"/>
  </r>
  <r>
    <x v="2"/>
    <x v="0"/>
    <n v="85"/>
    <n v="186.64"/>
    <n v="15864.4"/>
  </r>
  <r>
    <x v="1"/>
    <x v="1"/>
    <n v="386"/>
    <n v="175.06"/>
    <n v="67573.16"/>
  </r>
  <r>
    <x v="2"/>
    <x v="0"/>
    <n v="55"/>
    <n v="310.49"/>
    <n v="17076.95"/>
  </r>
  <r>
    <x v="2"/>
    <x v="3"/>
    <n v="169"/>
    <n v="223.99"/>
    <n v="37854.310000000005"/>
  </r>
  <r>
    <x v="0"/>
    <x v="1"/>
    <n v="472"/>
    <n v="416.77"/>
    <n v="196715.44"/>
  </r>
  <r>
    <x v="4"/>
    <x v="2"/>
    <n v="89"/>
    <n v="336.45"/>
    <n v="29944.05"/>
  </r>
  <r>
    <x v="4"/>
    <x v="1"/>
    <n v="319"/>
    <n v="39.619999999999997"/>
    <n v="12638.779999999999"/>
  </r>
  <r>
    <x v="2"/>
    <x v="5"/>
    <n v="95"/>
    <n v="321.88"/>
    <n v="30578.6"/>
  </r>
  <r>
    <x v="1"/>
    <x v="5"/>
    <n v="101"/>
    <n v="139.22"/>
    <n v="14061.22"/>
  </r>
  <r>
    <x v="4"/>
    <x v="5"/>
    <n v="157"/>
    <m/>
    <n v="0"/>
  </r>
  <r>
    <x v="1"/>
    <x v="1"/>
    <n v="170"/>
    <n v="341.67"/>
    <n v="58083.9"/>
  </r>
  <r>
    <x v="4"/>
    <x v="4"/>
    <n v="211"/>
    <n v="119.26"/>
    <n v="25163.86"/>
  </r>
  <r>
    <x v="1"/>
    <x v="3"/>
    <n v="433"/>
    <n v="231.15"/>
    <n v="100087.95"/>
  </r>
  <r>
    <x v="0"/>
    <x v="0"/>
    <n v="425"/>
    <n v="99.21"/>
    <n v="42164.25"/>
  </r>
  <r>
    <x v="1"/>
    <x v="2"/>
    <n v="251"/>
    <n v="30.91"/>
    <n v="7758.41"/>
  </r>
  <r>
    <x v="0"/>
    <x v="1"/>
    <m/>
    <n v="192.35"/>
    <n v="0"/>
  </r>
  <r>
    <x v="0"/>
    <x v="0"/>
    <n v="11"/>
    <n v="184.66"/>
    <n v="2031.26"/>
  </r>
  <r>
    <x v="1"/>
    <x v="2"/>
    <n v="234"/>
    <n v="497.76"/>
    <n v="116475.84"/>
  </r>
  <r>
    <x v="0"/>
    <x v="2"/>
    <m/>
    <n v="225.94"/>
    <n v="0"/>
  </r>
  <r>
    <x v="2"/>
    <x v="4"/>
    <n v="242"/>
    <n v="170.12"/>
    <n v="41169.040000000001"/>
  </r>
  <r>
    <x v="0"/>
    <x v="3"/>
    <n v="470"/>
    <n v="292.33999999999997"/>
    <n v="137399.79999999999"/>
  </r>
  <r>
    <x v="4"/>
    <x v="3"/>
    <n v="423"/>
    <n v="48.94"/>
    <n v="20701.62"/>
  </r>
  <r>
    <x v="1"/>
    <x v="0"/>
    <n v="426"/>
    <n v="481.02"/>
    <n v="204914.52"/>
  </r>
  <r>
    <x v="2"/>
    <x v="3"/>
    <n v="86"/>
    <n v="319.31"/>
    <n v="27460.66"/>
  </r>
  <r>
    <x v="1"/>
    <x v="1"/>
    <n v="125"/>
    <n v="378.64"/>
    <n v="47330"/>
  </r>
  <r>
    <x v="4"/>
    <x v="5"/>
    <n v="163"/>
    <n v="89.39"/>
    <n v="14570.57"/>
  </r>
  <r>
    <x v="4"/>
    <x v="0"/>
    <n v="415"/>
    <n v="207.69"/>
    <n v="86191.35"/>
  </r>
  <r>
    <x v="4"/>
    <x v="3"/>
    <n v="112"/>
    <n v="214.23"/>
    <n v="23993.759999999998"/>
  </r>
  <r>
    <x v="0"/>
    <x v="1"/>
    <n v="203"/>
    <n v="411.79"/>
    <n v="83593.37000000001"/>
  </r>
  <r>
    <x v="0"/>
    <x v="4"/>
    <m/>
    <n v="5.61"/>
    <n v="0"/>
  </r>
  <r>
    <x v="1"/>
    <x v="0"/>
    <n v="368"/>
    <n v="153.91999999999999"/>
    <n v="56642.559999999998"/>
  </r>
  <r>
    <x v="1"/>
    <x v="4"/>
    <n v="99"/>
    <n v="490.71"/>
    <n v="48580.29"/>
  </r>
  <r>
    <x v="2"/>
    <x v="4"/>
    <n v="183"/>
    <n v="240.07"/>
    <n v="43932.81"/>
  </r>
  <r>
    <x v="3"/>
    <x v="4"/>
    <n v="131"/>
    <n v="194.35"/>
    <n v="25459.85"/>
  </r>
  <r>
    <x v="1"/>
    <x v="2"/>
    <n v="152"/>
    <n v="64.319999999999993"/>
    <n v="9776.64"/>
  </r>
  <r>
    <x v="0"/>
    <x v="2"/>
    <n v="491"/>
    <n v="487.21"/>
    <n v="239220.11"/>
  </r>
  <r>
    <x v="4"/>
    <x v="4"/>
    <n v="115"/>
    <n v="14.91"/>
    <n v="1714.65"/>
  </r>
  <r>
    <x v="1"/>
    <x v="0"/>
    <n v="384"/>
    <n v="369.9"/>
    <n v="142041.59999999998"/>
  </r>
  <r>
    <x v="2"/>
    <x v="1"/>
    <n v="437"/>
    <n v="385.46"/>
    <n v="168446.02"/>
  </r>
  <r>
    <x v="0"/>
    <x v="1"/>
    <n v="314"/>
    <n v="125.61"/>
    <n v="39441.54"/>
  </r>
  <r>
    <x v="1"/>
    <x v="3"/>
    <n v="369"/>
    <n v="337.42"/>
    <n v="124507.98000000001"/>
  </r>
  <r>
    <x v="1"/>
    <x v="0"/>
    <n v="468"/>
    <n v="51"/>
    <n v="23868"/>
  </r>
  <r>
    <x v="0"/>
    <x v="2"/>
    <n v="326"/>
    <n v="132.24"/>
    <n v="43110.240000000005"/>
  </r>
  <r>
    <x v="1"/>
    <x v="4"/>
    <n v="460"/>
    <n v="395.01"/>
    <n v="181704.6"/>
  </r>
  <r>
    <x v="0"/>
    <x v="3"/>
    <n v="132"/>
    <n v="433.02"/>
    <n v="57158.64"/>
  </r>
  <r>
    <x v="4"/>
    <x v="1"/>
    <n v="399"/>
    <n v="306.2"/>
    <n v="122173.79999999999"/>
  </r>
  <r>
    <x v="0"/>
    <x v="2"/>
    <n v="18"/>
    <n v="255.89"/>
    <n v="4606.0199999999995"/>
  </r>
  <r>
    <x v="0"/>
    <x v="2"/>
    <n v="271"/>
    <n v="83.86"/>
    <n v="22726.06"/>
  </r>
  <r>
    <x v="3"/>
    <x v="4"/>
    <n v="82"/>
    <n v="36.24"/>
    <n v="2971.6800000000003"/>
  </r>
  <r>
    <x v="1"/>
    <x v="1"/>
    <n v="368"/>
    <n v="63.24"/>
    <n v="23272.32"/>
  </r>
  <r>
    <x v="1"/>
    <x v="0"/>
    <n v="232"/>
    <n v="117.54"/>
    <n v="27269.280000000002"/>
  </r>
  <r>
    <x v="0"/>
    <x v="2"/>
    <n v="425"/>
    <n v="174.13"/>
    <n v="74005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18115-F53E-4942-9607-17689DDD838B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1" firstHeaderRow="1" firstDataRow="2" firstDataCol="1"/>
  <pivotFields count="5">
    <pivotField axis="axisCol" showAll="0">
      <items count="6">
        <item x="0"/>
        <item x="2"/>
        <item x="4"/>
        <item x="1"/>
        <item x="3"/>
        <item t="default"/>
      </items>
    </pivotField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formats count="1">
    <format dxfId="55">
      <pivotArea dataOnly="0" labelOnly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BF785-D57A-419A-8ABA-D67A44B46277}" name="Table1" displayName="Table1" ref="A1:J351" totalsRowShown="0" headerRowDxfId="208" dataDxfId="207" headerRowBorderDxfId="220" tableBorderDxfId="221" totalsRowBorderDxfId="219">
  <autoFilter ref="A1:J351" xr:uid="{6B1BF785-D57A-419A-8ABA-D67A44B46277}"/>
  <tableColumns count="10">
    <tableColumn id="1" xr3:uid="{7B0F7741-9863-41FC-9640-18066D059D25}" name="Order ID" dataDxfId="218"/>
    <tableColumn id="2" xr3:uid="{D798E59F-F747-412E-9052-2842F1273F53}" name="Region" dataDxfId="217"/>
    <tableColumn id="3" xr3:uid="{34904D4F-CED0-420F-95F9-F1B27858257B}" name="Country" dataDxfId="216"/>
    <tableColumn id="4" xr3:uid="{E4550B6D-1DFB-4791-80CC-0CE807F1FB3B}" name="Category" dataDxfId="215"/>
    <tableColumn id="5" xr3:uid="{75664299-1055-4DD9-A870-C55239E1C708}" name="Sales Channel" dataDxfId="214"/>
    <tableColumn id="6" xr3:uid="{4373116C-11AA-40A7-A5AE-E8D3E69C8E5D}" name="Order Priority" dataDxfId="213"/>
    <tableColumn id="7" xr3:uid="{6C540DCB-376A-49BB-9BB1-885529F65468}" name="Order Date" dataDxfId="212"/>
    <tableColumn id="8" xr3:uid="{C827217D-26E1-43B1-B4F5-5CA5FA2F650D}" name="Units Sold" dataDxfId="211"/>
    <tableColumn id="9" xr3:uid="{F50F8E42-D277-4C59-B999-D749602B22DF}" name="Unit Price" dataDxfId="210"/>
    <tableColumn id="10" xr3:uid="{AB59DE7C-8D18-4D74-BCD6-19E9612894D5}" name="Unit Cost" dataDxfId="20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E855E0-90B2-45A5-B0A0-EDEA54163DF5}" name="Table13" displayName="Table13" ref="A4:J354" totalsRowShown="0" headerRowDxfId="206" dataDxfId="205" headerRowBorderDxfId="203" tableBorderDxfId="204" totalsRowBorderDxfId="202">
  <autoFilter ref="A4:J354" xr:uid="{E9E855E0-90B2-45A5-B0A0-EDEA54163DF5}"/>
  <tableColumns count="10">
    <tableColumn id="1" xr3:uid="{096D9AF9-E196-479A-A5BE-B430B56340A6}" name="Order ID" dataDxfId="201"/>
    <tableColumn id="2" xr3:uid="{934CD8F8-3A8C-4360-A063-2742218C060F}" name="Region" dataDxfId="200"/>
    <tableColumn id="3" xr3:uid="{2CAD5379-073D-456F-A866-1359FFD9EEB6}" name="Country" dataDxfId="199"/>
    <tableColumn id="4" xr3:uid="{FCEA9CE9-EEC4-4A54-BE71-55B18A3AAF4B}" name="Category" dataDxfId="198"/>
    <tableColumn id="5" xr3:uid="{8519B3D8-1348-42DD-AE1B-47B5B1C8A13C}" name="Sales Channel" dataDxfId="197"/>
    <tableColumn id="6" xr3:uid="{049F4E49-3C9C-41CF-B426-ACBC4F515479}" name="Order Priority" dataDxfId="196"/>
    <tableColumn id="7" xr3:uid="{3EB33FC8-2923-4B51-9655-8FBE7FD65803}" name="Order Date" dataDxfId="195"/>
    <tableColumn id="8" xr3:uid="{E004451D-88A2-46B4-9E5D-55B5D0A41F31}" name="Units Sold" dataDxfId="194"/>
    <tableColumn id="9" xr3:uid="{FA5A58E4-86CE-45EC-86A0-31650F835D6E}" name="Unit Price" dataDxfId="193"/>
    <tableColumn id="10" xr3:uid="{0BD7B92A-A2AB-44D4-BFA3-75D56FCEE009}" name="Unit Cost" dataDxfId="1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C35D286-6F16-452E-80B1-4F0F2A504813}" name="Table322" displayName="Table322" ref="A356:B368" totalsRowShown="0" headerRowDxfId="12" dataDxfId="11">
  <autoFilter ref="A356:B368" xr:uid="{1C35D286-6F16-452E-80B1-4F0F2A504813}"/>
  <tableColumns count="2">
    <tableColumn id="1" xr3:uid="{0A9CCC13-07FF-4429-BD5F-4DB24B09F9AF}" name="Column1" dataDxfId="14"/>
    <tableColumn id="2" xr3:uid="{FFE6F448-B787-4889-BF2E-E8F199745FC8}" name="Column2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EA5FBC-D334-4272-BC06-069FD9DD8C95}" name="Table15" displayName="Table15" ref="A4:J354" totalsRowShown="0" headerRowDxfId="191" dataDxfId="190" headerRowBorderDxfId="188" tableBorderDxfId="189" totalsRowBorderDxfId="187">
  <autoFilter ref="A4:J354" xr:uid="{C5EA5FBC-D334-4272-BC06-069FD9DD8C95}"/>
  <tableColumns count="10">
    <tableColumn id="1" xr3:uid="{5C188693-210C-4983-9649-ED7F31F8EC9E}" name="Order ID" dataDxfId="186"/>
    <tableColumn id="2" xr3:uid="{3098380E-915F-4EE0-B494-6DFCAD0C2CB5}" name="Region" dataDxfId="185"/>
    <tableColumn id="3" xr3:uid="{471B8F8B-36F3-4E52-9EF5-50A27BC7E404}" name="Country" dataDxfId="184"/>
    <tableColumn id="4" xr3:uid="{2DD69B0A-2E9D-4D7D-B017-30501E881AC8}" name="Category" dataDxfId="183"/>
    <tableColumn id="5" xr3:uid="{0000C948-00BB-4F38-9D63-85E9300259AB}" name="Sales Channel" dataDxfId="182"/>
    <tableColumn id="6" xr3:uid="{19D8CAA8-DC69-48D1-8634-A83FF988A428}" name="Order Priority" dataDxfId="181"/>
    <tableColumn id="7" xr3:uid="{74626254-AC29-4B35-B5BF-8C399DB83546}" name="Order Date" dataDxfId="180"/>
    <tableColumn id="8" xr3:uid="{889768D5-D0BF-4474-BFB3-430F724B8667}" name="Units Sold" dataDxfId="179"/>
    <tableColumn id="9" xr3:uid="{132437BC-19DD-4811-823A-3C12276EF94E}" name="Unit Price" dataDxfId="178"/>
    <tableColumn id="10" xr3:uid="{84750E70-6146-4C52-A0E8-F6B1ABD91863}" name="Unit Cost" dataDxfId="17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AE367EF-C238-4780-A955-2B8638CFB451}" name="Table22" displayName="Table22" ref="A2:D352" totalsRowShown="0" headerRowDxfId="5" headerRowBorderDxfId="9" tableBorderDxfId="10" totalsRowBorderDxfId="8">
  <autoFilter ref="A2:D352" xr:uid="{7AE367EF-C238-4780-A955-2B8638CFB451}"/>
  <tableColumns count="4">
    <tableColumn id="1" xr3:uid="{61CF86F0-F27F-4807-8A7F-A0D43BD34EAD}" name="Region" dataDxfId="7"/>
    <tableColumn id="2" xr3:uid="{5A1C1162-98F0-4803-8FC7-9D3DCF9D79EB}" name="Category" dataDxfId="6"/>
    <tableColumn id="3" xr3:uid="{2D0EE0FD-38C5-4BB5-BE2D-B2B0170CA8FD}" name="Column1" dataDxfId="4">
      <calculatedColumnFormula>IF(Table22[[#This Row],[Region]]= " ",$F$1,Table22[[#This Row],[Category]])</calculatedColumnFormula>
    </tableColumn>
    <tableColumn id="4" xr3:uid="{06BE569A-46FE-4E75-A19D-413729939651}" name="Column2" dataDxfId="3">
      <calculatedColumnFormula>IF(Table22[[#This Row],[Region]]=" ",$F$1,Table22[[#This Row],[Region]])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E80999-ADF2-4604-A1EF-58D048CE9AE9}" name="Table16" displayName="Table16" ref="A4:J354" totalsRowShown="0" headerRowDxfId="176" dataDxfId="175" headerRowBorderDxfId="173" tableBorderDxfId="174" totalsRowBorderDxfId="172">
  <autoFilter ref="A4:J354" xr:uid="{7DE80999-ADF2-4604-A1EF-58D048CE9AE9}"/>
  <tableColumns count="10">
    <tableColumn id="1" xr3:uid="{255B3964-7B29-41B4-84DC-C5C675C91720}" name="Order ID" dataDxfId="171"/>
    <tableColumn id="2" xr3:uid="{07667497-AD50-4182-99AD-D85CDCA2F81C}" name="Region" dataDxfId="170"/>
    <tableColumn id="3" xr3:uid="{3E6F60CB-6822-4D85-8095-8E4EDCA8A5F2}" name="Country" dataDxfId="169"/>
    <tableColumn id="4" xr3:uid="{A3A36486-B8BD-4C6B-B137-D15D0D2D830D}" name="Category" dataDxfId="168"/>
    <tableColumn id="5" xr3:uid="{E5930C8F-E84A-4B8A-B799-114E854ADB62}" name="Sales Channel" dataDxfId="167"/>
    <tableColumn id="6" xr3:uid="{1D6AF84C-2529-4DE5-B328-548E0E411E59}" name="Order Priority" dataDxfId="166"/>
    <tableColumn id="7" xr3:uid="{F8711A90-7DEB-4D3E-AD60-6311898A365B}" name="Order Date" dataDxfId="165"/>
    <tableColumn id="8" xr3:uid="{3BECA346-F278-4F9F-8856-099DC6315C5E}" name="Units Sold" dataDxfId="164"/>
    <tableColumn id="9" xr3:uid="{67EB321A-ECEC-4A42-BF2F-C89B845ACB10}" name="Unit Price" dataDxfId="163"/>
    <tableColumn id="10" xr3:uid="{47C40B18-F04C-4F6E-B2B7-787374551796}" name="Unit Cost" dataDxfId="16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8FD-14B4-49A6-A5C1-B55719ED8699}" name="Table17" displayName="Table17" ref="A4:K354" totalsRowShown="0" headerRowDxfId="161" dataDxfId="160" headerRowBorderDxfId="158" tableBorderDxfId="159" totalsRowBorderDxfId="157">
  <autoFilter ref="A4:K354" xr:uid="{67A998FD-14B4-49A6-A5C1-B55719ED8699}"/>
  <tableColumns count="11">
    <tableColumn id="1" xr3:uid="{03990462-E8FD-4652-9E5C-AFABBBEF5BB7}" name="Order ID" dataDxfId="156"/>
    <tableColumn id="2" xr3:uid="{E9EF4166-EABA-4319-B0C3-B6227B15CE0F}" name="Region" dataDxfId="155"/>
    <tableColumn id="3" xr3:uid="{EEA12FF4-A99C-4C9B-8F63-DD7111401A7B}" name="Country" dataDxfId="154"/>
    <tableColumn id="4" xr3:uid="{069A02AD-7CE3-499E-A848-EB6B0B40AFF1}" name="Category" dataDxfId="153"/>
    <tableColumn id="5" xr3:uid="{BDF54EA9-1DA3-4546-AB77-E687E0E2DE97}" name="Sales Channel" dataDxfId="152"/>
    <tableColumn id="6" xr3:uid="{BE330499-6BDD-4B8A-8F0B-F162DBA00D3F}" name="Order Priority" dataDxfId="151"/>
    <tableColumn id="7" xr3:uid="{FAFB7417-F92F-4048-9E2D-7CF4324C44FA}" name="Order Date" dataDxfId="150"/>
    <tableColumn id="8" xr3:uid="{0A1E99BE-1055-418A-A856-FCB1A1C24CEA}" name="Units Sold" dataDxfId="149"/>
    <tableColumn id="9" xr3:uid="{A095BEA9-0106-4D6F-858D-CA4B28CAD6F0}" name="Unit Price" dataDxfId="148"/>
    <tableColumn id="10" xr3:uid="{CAE76487-B6C3-4B68-9DBC-CE0CE889E2B9}" name="Unit Cost" dataDxfId="147"/>
    <tableColumn id="11" xr3:uid="{87201946-7197-448E-9100-CB3C1DA5D6E7}" name="Total Revenue" dataDxfId="146">
      <calculatedColumnFormula>Table17[[#This Row],[Units Sold]]*Table17[[#This Row],[Unit Price]]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D32D0B-8E94-4BD9-8855-BD7D3BA8AE2B}" name="Table18" displayName="Table18" ref="A4:J354" totalsRowShown="0" headerRowDxfId="145" dataDxfId="144" headerRowBorderDxfId="142" tableBorderDxfId="143" totalsRowBorderDxfId="141">
  <autoFilter ref="A4:J354" xr:uid="{D6D32D0B-8E94-4BD9-8855-BD7D3BA8AE2B}"/>
  <tableColumns count="10">
    <tableColumn id="1" xr3:uid="{91B3F7F7-3490-4FB7-8B58-55339D4EA36B}" name="Order ID" dataDxfId="140"/>
    <tableColumn id="2" xr3:uid="{78025648-B226-404E-93DB-BB8D8377E8EA}" name="Region" dataDxfId="139"/>
    <tableColumn id="3" xr3:uid="{EABE3B8E-5D2C-484F-B7B9-96C8AB1431A1}" name="Country" dataDxfId="138"/>
    <tableColumn id="4" xr3:uid="{62ADE516-3AC9-4397-ACE0-574140590959}" name="Category" dataDxfId="137"/>
    <tableColumn id="5" xr3:uid="{B932DF70-AFBA-4704-AE3C-8049CED267CE}" name="Sales Channel" dataDxfId="136"/>
    <tableColumn id="6" xr3:uid="{DB6BE707-171E-47B4-B68B-9A49216E3C7E}" name="Order Priority" dataDxfId="135"/>
    <tableColumn id="7" xr3:uid="{A3825574-D306-4E0F-A98A-D9F681628CF5}" name="Order Date" dataDxfId="134"/>
    <tableColumn id="8" xr3:uid="{B9035696-513E-458D-891C-96B0E237C9FA}" name="Units Sold" dataDxfId="133"/>
    <tableColumn id="9" xr3:uid="{F3BBCBDE-154C-4F1A-9ADD-495AC909F66A}" name="Unit Price" dataDxfId="132"/>
    <tableColumn id="10" xr3:uid="{E64AA74F-EFCD-4361-86D7-E02BB26AA163}" name="Unit Cost" dataDxfId="13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D1D881-4AF6-4A02-8BF8-142879562BF6}" name="Table19" displayName="Table19" ref="A4:J354" totalsRowShown="0" headerRowDxfId="130" dataDxfId="129" headerRowBorderDxfId="127" tableBorderDxfId="128" totalsRowBorderDxfId="126">
  <autoFilter ref="A4:J354" xr:uid="{91D1D881-4AF6-4A02-8BF8-142879562BF6}"/>
  <tableColumns count="10">
    <tableColumn id="1" xr3:uid="{7B82088A-4969-450D-992A-2BED79EE45B1}" name="Order ID" dataDxfId="125"/>
    <tableColumn id="2" xr3:uid="{9967AA2E-8928-4FD5-8E03-B31171BCF8F8}" name="Region" dataDxfId="124"/>
    <tableColumn id="3" xr3:uid="{85A862EB-1104-4DAD-BF5F-E67A1606F02E}" name="Country" dataDxfId="123"/>
    <tableColumn id="4" xr3:uid="{4B6251FE-DE75-4B0E-B934-958718D1249D}" name="Category" dataDxfId="122"/>
    <tableColumn id="5" xr3:uid="{B89AB639-0855-4A71-96A5-8D26CE2A7E5B}" name="Sales Channel" dataDxfId="121"/>
    <tableColumn id="6" xr3:uid="{157EED2E-6580-4B2F-9585-254B1CE75B57}" name="Order Priority" dataDxfId="120"/>
    <tableColumn id="7" xr3:uid="{67DD7D3E-B43B-4EB1-A095-9D861D47BAE3}" name="Order Date" dataDxfId="119"/>
    <tableColumn id="8" xr3:uid="{F7EBCE4E-2AD7-4F16-8A4D-CD10D563AF57}" name="Units Sold" dataDxfId="118"/>
    <tableColumn id="9" xr3:uid="{9BAA25BE-2E73-4C9F-8D1B-703D7E7338B7}" name="Unit Price" dataDxfId="117"/>
    <tableColumn id="10" xr3:uid="{D566466F-11BE-4B94-B607-13CD47D046E6}" name="Unit Cost" dataDxfId="11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26F925-0477-4766-82AE-076B2F423532}" name="Table9" displayName="Table9" ref="A2:E352" totalsRowShown="0" headerRowDxfId="108" dataDxfId="109" tableBorderDxfId="115">
  <autoFilter ref="A2:E352" xr:uid="{EC26F925-0477-4766-82AE-076B2F423532}"/>
  <tableColumns count="5">
    <tableColumn id="1" xr3:uid="{79269743-6F01-4453-97C8-9FCAEA100442}" name="Region" dataDxfId="114"/>
    <tableColumn id="2" xr3:uid="{CFCC3015-73FB-41AD-B4B4-79375752987A}" name="Units Sold" dataDxfId="113"/>
    <tableColumn id="3" xr3:uid="{532385FE-DCCB-4C35-8B9D-B37FF31804A0}" name="Unit Price" dataDxfId="112"/>
    <tableColumn id="4" xr3:uid="{DFF3416B-1C9C-404B-A820-7B3D68DB8A88}" name="Unit Cost" dataDxfId="111"/>
    <tableColumn id="5" xr3:uid="{6D0B1907-63B5-4027-972F-78789A4081CC}" name="Profit" dataDxfId="110">
      <calculatedColumnFormula>(C3-D3)*B3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12E846-7788-462F-9E54-23C206260FA4}" name="Table10" displayName="Table10" ref="A2:E352" totalsRowShown="0" headerRowDxfId="99" dataDxfId="100" headerRowBorderDxfId="106" tableBorderDxfId="107" totalsRowBorderDxfId="105">
  <autoFilter ref="A2:E352" xr:uid="{BC12E846-7788-462F-9E54-23C206260FA4}">
    <filterColumn colId="0">
      <filters>
        <filter val="West"/>
      </filters>
    </filterColumn>
  </autoFilter>
  <tableColumns count="5">
    <tableColumn id="1" xr3:uid="{BC835530-DE53-46C4-9F25-485720065AA3}" name="Region" dataDxfId="104"/>
    <tableColumn id="2" xr3:uid="{92D5EF74-BE5D-469E-9A95-197E11738822}" name="Units Sold" dataDxfId="103"/>
    <tableColumn id="3" xr3:uid="{0A60B689-02FA-4DA1-9083-4A25CA52BBC4}" name="Unit Price" dataDxfId="102"/>
    <tableColumn id="4" xr3:uid="{6D4A80E5-7EDA-4735-AFD5-2C2CC6E9D859}" name="Unit Cost" dataDxfId="101"/>
    <tableColumn id="7" xr3:uid="{4643F714-133C-4E48-8FDD-CC469AE65C08}" name="Profit" dataDxfId="98">
      <calculatedColumnFormula>(Table10[[#This Row],[Unit Price]]-Table10[[#This Row],[Unit Cost]])*Table10[[#This Row],[Units Sold]]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BC73A4F-E480-44FA-A0E4-BA23CAF8F83D}" name="Table1012" displayName="Table1012" ref="A2:E352" totalsRowShown="0" headerRowDxfId="97" dataDxfId="96" headerRowBorderDxfId="94" tableBorderDxfId="95" totalsRowBorderDxfId="93">
  <autoFilter ref="A2:E352" xr:uid="{3BC73A4F-E480-44FA-A0E4-BA23CAF8F83D}">
    <filterColumn colId="0">
      <filters>
        <filter val="North"/>
      </filters>
    </filterColumn>
  </autoFilter>
  <tableColumns count="5">
    <tableColumn id="1" xr3:uid="{00162CAD-C127-4C1B-A68E-D81DBB7F3E6A}" name="Region" dataDxfId="92"/>
    <tableColumn id="2" xr3:uid="{BA6720F7-D906-4975-B8C1-0ECF9F01A07C}" name="Units Sold" dataDxfId="91"/>
    <tableColumn id="3" xr3:uid="{D0B2B2A6-60E6-46EF-8E90-B14C27D0484E}" name="Unit Price" dataDxfId="90"/>
    <tableColumn id="4" xr3:uid="{30285D5F-50CF-4C58-BCC4-FEF56FFE9A66}" name="Unit Cost" dataDxfId="89"/>
    <tableColumn id="7" xr3:uid="{1139C93D-67B2-484D-9419-C3EFB3CCE1D9}" name="Profit" dataDxfId="88">
      <calculatedColumnFormula>(Table1012[[#This Row],[Unit Price]]-Table1012[[#This Row],[Unit Cost]])*Table1012[[#This Row],[Units Sold]]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755B20-A718-41E3-81B0-490CF059589F}" name="Table101213" displayName="Table101213" ref="A2:E352" totalsRowShown="0" headerRowDxfId="87" dataDxfId="86" headerRowBorderDxfId="84" tableBorderDxfId="85" totalsRowBorderDxfId="83">
  <autoFilter ref="A2:E352" xr:uid="{58755B20-A718-41E3-81B0-490CF059589F}">
    <filterColumn colId="0">
      <filters>
        <filter val="South"/>
      </filters>
    </filterColumn>
  </autoFilter>
  <tableColumns count="5">
    <tableColumn id="1" xr3:uid="{6ABAA643-FBD9-48EE-8B4D-59E89D23A3C1}" name="Region" dataDxfId="82"/>
    <tableColumn id="2" xr3:uid="{6AAC7605-63B7-4B0A-ACE4-198E681FB29C}" name="Units Sold" dataDxfId="81"/>
    <tableColumn id="3" xr3:uid="{4D4545A2-ACBA-48FC-96A8-1D65585DD6BC}" name="Unit Price" dataDxfId="80"/>
    <tableColumn id="4" xr3:uid="{0BF03FB8-3D2C-4F44-AD48-237471069713}" name="Unit Cost" dataDxfId="79"/>
    <tableColumn id="7" xr3:uid="{EE672156-C242-4BAC-AED5-CEDA25BB1F89}" name="Profit" dataDxfId="78">
      <calculatedColumnFormula>(Table101213[[#This Row],[Unit Price]]-Table101213[[#This Row],[Unit Cost]])*Table101213[[#This Row],[Units Sold]]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FDBBBFE-F8B2-4501-A516-FAFA4321A7CB}" name="Table114" displayName="Table114" ref="A4:J354" totalsRowShown="0" headerRowDxfId="77" dataDxfId="76" headerRowBorderDxfId="74" tableBorderDxfId="75" totalsRowBorderDxfId="73">
  <autoFilter ref="A4:J354" xr:uid="{8FDBBBFE-F8B2-4501-A516-FAFA4321A7CB}"/>
  <tableColumns count="10">
    <tableColumn id="1" xr3:uid="{FD1ADF36-3C5F-471B-B99E-A4178D148FC1}" name="Order ID" dataDxfId="72"/>
    <tableColumn id="2" xr3:uid="{E14245B6-156C-4AC9-9814-6E032DF046C1}" name="Region" dataDxfId="71"/>
    <tableColumn id="3" xr3:uid="{5E3CE24D-BDDA-40E7-AA0E-2CB03AA9D01D}" name="Country" dataDxfId="70"/>
    <tableColumn id="4" xr3:uid="{042FC317-CB52-44FA-89EB-DB07045DECB3}" name="Category" dataDxfId="69"/>
    <tableColumn id="5" xr3:uid="{32E70615-75B7-432D-AEF5-0F799577B52A}" name="Sales Channel" dataDxfId="68"/>
    <tableColumn id="6" xr3:uid="{7643E500-C3D3-4389-857C-FDC59B81EE4C}" name="Order Priority" dataDxfId="67"/>
    <tableColumn id="7" xr3:uid="{FF724333-424C-48B7-AC74-3B270C227FFC}" name="Order Date" dataDxfId="66"/>
    <tableColumn id="8" xr3:uid="{EAD82E7E-0815-4E8C-BA9F-B31D41C998F1}" name="Units Sold" dataDxfId="65"/>
    <tableColumn id="9" xr3:uid="{1F6DB195-3A76-4132-9B55-840A3B01E6BB}" name="Unit Price" dataDxfId="64"/>
    <tableColumn id="10" xr3:uid="{AD4509BA-3B52-4B31-9744-34612CB4DF81}" name="Unit Cost" dataDxfId="6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263E44E-4090-4BCE-80E8-74F004FC8DFF}" name="Table2017" displayName="Table2017" ref="A2:E352" totalsRowShown="0" headerRowDxfId="62" dataDxfId="61" tableBorderDxfId="60">
  <autoFilter ref="A2:E352" xr:uid="{5263E44E-4090-4BCE-80E8-74F004FC8DFF}"/>
  <tableColumns count="5">
    <tableColumn id="1" xr3:uid="{CFE0E6F1-E62A-4E97-B5A9-B058A04F7FF5}" name="Region" dataDxfId="59"/>
    <tableColumn id="2" xr3:uid="{A8689FC4-47A1-4D03-AC56-C4D6A1564633}" name="Category" dataDxfId="58"/>
    <tableColumn id="3" xr3:uid="{BE5092C7-C22D-4996-BA73-8A94F4D8AC2A}" name="Column1" dataDxfId="56"/>
    <tableColumn id="4" xr3:uid="{33CFD8AE-8412-4A79-B0CA-D82637294349}" name="Unit Price" dataDxfId="57"/>
    <tableColumn id="5" xr3:uid="{7DD7617B-E149-43A5-AFBB-4EEE1AD14998}" name="Sales">
      <calculatedColumnFormula>C3*D3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EA7584-51B5-48B6-BB19-B2B3FBF658FE}" name="Table118" displayName="Table118" ref="A4:J354" totalsRowShown="0" headerRowDxfId="54" dataDxfId="53" headerRowBorderDxfId="51" tableBorderDxfId="52" totalsRowBorderDxfId="50">
  <autoFilter ref="A4:J354" xr:uid="{12EA7584-51B5-48B6-BB19-B2B3FBF658FE}"/>
  <tableColumns count="10">
    <tableColumn id="1" xr3:uid="{2B3AB0CC-7AC1-466D-A0A2-7B986DCE7381}" name="Order ID" dataDxfId="49"/>
    <tableColumn id="2" xr3:uid="{746FBFE8-478E-4F69-9FD1-675AA6568DF9}" name="Region" dataDxfId="48"/>
    <tableColumn id="3" xr3:uid="{4541CF80-9AA1-43F0-8041-17EAAD6EF8A8}" name="Country" dataDxfId="47"/>
    <tableColumn id="4" xr3:uid="{F2E4A516-AEB0-4F89-9E00-F41643F078B4}" name="Category" dataDxfId="46"/>
    <tableColumn id="5" xr3:uid="{BCCB9475-EEF2-451D-8080-77C1A229C749}" name="Sales Channel" dataDxfId="45"/>
    <tableColumn id="6" xr3:uid="{80B134F5-0BB4-4A04-9450-75E33412617B}" name="Order Priority" dataDxfId="44"/>
    <tableColumn id="7" xr3:uid="{C51FB2F8-BBF5-42F9-B22E-E299215E5D49}" name="Order Date" dataDxfId="43"/>
    <tableColumn id="8" xr3:uid="{DC2F4FCC-C91C-43F7-AC2E-5531FB1D0003}" name="Units Sold" dataDxfId="42"/>
    <tableColumn id="9" xr3:uid="{F144A75E-5B2D-478E-BB10-4A7C80392230}" name="Unit Price" dataDxfId="41"/>
    <tableColumn id="10" xr3:uid="{3B0B4F4C-536C-410D-BF2E-D36B305D1CAA}" name="Unit Cost" dataDxfId="4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1136C9C-96B1-4E17-9E0F-051C44F3038D}" name="Table20" displayName="Table20" ref="A2:D352" totalsRowShown="0" tableBorderDxfId="39">
  <autoFilter ref="A2:D352" xr:uid="{51136C9C-96B1-4E17-9E0F-051C44F3038D}"/>
  <tableColumns count="4">
    <tableColumn id="1" xr3:uid="{4304B772-5115-4903-BED0-5E970BD81A1D}" name="Unit Price" dataDxfId="38"/>
    <tableColumn id="2" xr3:uid="{099C62E5-68F2-4BFE-8A5F-FDBAC027DC2C}" name="Units Sold" dataDxfId="37"/>
    <tableColumn id="3" xr3:uid="{4DAAD2AD-92F9-4F1B-88A2-24E7775DAA1B}" name="Sales" dataDxfId="36">
      <calculatedColumnFormula>A3*B3</calculatedColumnFormula>
    </tableColumn>
    <tableColumn id="4" xr3:uid="{D7BCF04D-0485-4147-96AB-4AD53EFC0D71}" name="Revenue per sale" dataDxfId="35">
      <calculatedColumnFormula>Table20[[#This Row],[Sales]]+Table20[[#This Row],[Units Sold]]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7B07785-D1DB-486E-85C9-87F09E05803B}" name="Table21" displayName="Table21" ref="G2:I3" totalsRowShown="0" headerRowDxfId="31" dataDxfId="30">
  <autoFilter ref="G2:I3" xr:uid="{87B07785-D1DB-486E-85C9-87F09E05803B}"/>
  <tableColumns count="3">
    <tableColumn id="1" xr3:uid="{FDAF69C7-4E6C-4522-B579-C4A3A0D54634}" name="TOTAL SALES" dataDxfId="34">
      <calculatedColumnFormula>SUM(Table20[Sales])</calculatedColumnFormula>
    </tableColumn>
    <tableColumn id="2" xr3:uid="{E4FAA586-D5A0-494C-B311-EED022A20028}" name="AVERAGE REVENUE" dataDxfId="33">
      <calculatedColumnFormula>AVERAGE(Table20[Sales])</calculatedColumnFormula>
    </tableColumn>
    <tableColumn id="3" xr3:uid="{0320CE59-7031-4196-8847-8153731A01FA}" name="TOTAL UNITS SOLD" dataDxfId="32">
      <calculatedColumnFormula>SUM(Table20[Units Sold])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3AA7CE4-86B5-4EC5-AA05-51D0BA1ADCCA}" name="Table121" displayName="Table121" ref="A4:J354" totalsRowShown="0" headerRowDxfId="29" dataDxfId="28" headerRowBorderDxfId="26" tableBorderDxfId="27" totalsRowBorderDxfId="25">
  <autoFilter ref="A4:J354" xr:uid="{D3AA7CE4-86B5-4EC5-AA05-51D0BA1ADCCA}"/>
  <tableColumns count="10">
    <tableColumn id="1" xr3:uid="{0023FA9B-2F8D-478E-9D1A-639D4AE63A72}" name="Order ID" dataDxfId="24"/>
    <tableColumn id="2" xr3:uid="{B34367F3-8F01-4384-A0AB-B6A61FAB7CAC}" name="Region" dataDxfId="23"/>
    <tableColumn id="3" xr3:uid="{EFBDE135-C993-4D88-9FA7-0CC887274E3C}" name="Country" dataDxfId="22"/>
    <tableColumn id="4" xr3:uid="{B13D798F-35EB-47CC-BD82-2B91F2F4D44C}" name="Category" dataDxfId="21"/>
    <tableColumn id="5" xr3:uid="{60AA46B7-A039-4000-B4D7-3498F88D0C38}" name="Sales Channel" dataDxfId="20"/>
    <tableColumn id="6" xr3:uid="{363F111D-49FF-418E-B50C-FE491410BDB8}" name="Order Priority" dataDxfId="19"/>
    <tableColumn id="7" xr3:uid="{F8C8D2E6-77F7-4CF4-91ED-59B288EE997F}" name="Order Date" dataDxfId="18"/>
    <tableColumn id="8" xr3:uid="{D70E2EA6-F0E8-4418-8F81-405D2796A65C}" name="Units Sold" dataDxfId="17"/>
    <tableColumn id="9" xr3:uid="{4E66A6B1-5FB7-4B19-BF49-4087B385B42F}" name="Unit Price" dataDxfId="16"/>
    <tableColumn id="10" xr3:uid="{CF87F057-6EAC-471B-A87A-7A8F423F8F52}" name="Unit Cost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84FF3CE-7210-4044-9C0A-2CD695B47696}">
  <we:reference id="wa200005271" version="2.4.4.0" store="en-US" storeType="OMEX"/>
  <we:alternateReferences>
    <we:reference id="wa200005271" version="2.4.4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7C601B5-328B-4FFB-98FF-139D3F630E8B}">
  <we:reference id="wa200005502" version="1.0.0.11" store="en-US" storeType="OMEX"/>
  <we:alternateReferences>
    <we:reference id="wa200005502" version="1.0.0.11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5E86-BF4C-44E2-A04B-03CB7C77BE40}">
  <dimension ref="A1:J351"/>
  <sheetViews>
    <sheetView topLeftCell="C1" workbookViewId="0">
      <selection activeCell="G6" sqref="G6"/>
    </sheetView>
  </sheetViews>
  <sheetFormatPr defaultRowHeight="14.4"/>
  <cols>
    <col min="1" max="1" width="12.44140625" bestFit="1" customWidth="1"/>
    <col min="2" max="2" width="11.21875" bestFit="1" customWidth="1"/>
    <col min="3" max="3" width="12.21875" bestFit="1" customWidth="1"/>
    <col min="4" max="4" width="13" bestFit="1" customWidth="1"/>
    <col min="5" max="5" width="17" bestFit="1" customWidth="1"/>
    <col min="6" max="6" width="16.77734375" bestFit="1" customWidth="1"/>
    <col min="7" max="7" width="15.44140625" bestFit="1" customWidth="1"/>
    <col min="8" max="8" width="13.88671875" bestFit="1" customWidth="1"/>
    <col min="9" max="9" width="13.5546875" bestFit="1" customWidth="1"/>
    <col min="10" max="10" width="13.109375" bestFit="1" customWidth="1"/>
  </cols>
  <sheetData>
    <row r="1" spans="1:10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thickBo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3">
        <v>235</v>
      </c>
      <c r="I2" s="3">
        <v>152.91999999999999</v>
      </c>
      <c r="J2" s="3">
        <v>153.6</v>
      </c>
    </row>
    <row r="3" spans="1:10" ht="15" thickBot="1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3">
        <v>341</v>
      </c>
      <c r="I3" s="3">
        <v>467.92</v>
      </c>
      <c r="J3" s="3">
        <v>139.84</v>
      </c>
    </row>
    <row r="4" spans="1:10" ht="15" thickBot="1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3">
        <v>179</v>
      </c>
      <c r="I4" s="3">
        <v>473.94</v>
      </c>
      <c r="J4" s="3">
        <v>97.14</v>
      </c>
    </row>
    <row r="5" spans="1:10" ht="15" thickBot="1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3">
        <v>18</v>
      </c>
      <c r="I5" s="3">
        <v>314.52999999999997</v>
      </c>
      <c r="J5" s="3">
        <v>204.87</v>
      </c>
    </row>
    <row r="6" spans="1:10" ht="15" thickBot="1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3">
        <v>472</v>
      </c>
      <c r="I6" s="3">
        <v>392.79</v>
      </c>
      <c r="J6" s="3">
        <v>330.46</v>
      </c>
    </row>
    <row r="7" spans="1:10" ht="15" thickBot="1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3">
        <v>49</v>
      </c>
      <c r="I7" s="3">
        <v>308.07</v>
      </c>
      <c r="J7" s="3">
        <v>113.32</v>
      </c>
    </row>
    <row r="8" spans="1:10" ht="15" thickBot="1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3">
        <v>34</v>
      </c>
      <c r="I8" s="3">
        <v>244.78</v>
      </c>
      <c r="J8" s="3">
        <v>377.07</v>
      </c>
    </row>
    <row r="9" spans="1:10" ht="15" thickBot="1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3">
        <v>270</v>
      </c>
      <c r="I9" s="3">
        <v>332.11</v>
      </c>
      <c r="J9" s="3">
        <v>349.59</v>
      </c>
    </row>
    <row r="10" spans="1:10" ht="15" thickBot="1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3">
        <v>404</v>
      </c>
      <c r="I10" s="3">
        <v>278.74</v>
      </c>
      <c r="J10" s="3">
        <v>66.38</v>
      </c>
    </row>
    <row r="11" spans="1:10" ht="15" thickBot="1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3">
        <v>452</v>
      </c>
      <c r="I11" s="3">
        <v>300.75</v>
      </c>
      <c r="J11" s="3">
        <v>314.94</v>
      </c>
    </row>
    <row r="12" spans="1:10" ht="15" thickBot="1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3">
        <v>235</v>
      </c>
      <c r="I12" s="3">
        <v>393</v>
      </c>
      <c r="J12" s="3">
        <v>230.69</v>
      </c>
    </row>
    <row r="13" spans="1:10" ht="15" thickBot="1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3">
        <v>481</v>
      </c>
      <c r="I13" s="3">
        <v>243.05</v>
      </c>
      <c r="J13" s="3">
        <v>227.5</v>
      </c>
    </row>
    <row r="14" spans="1:10" ht="15" thickBot="1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3">
        <v>133</v>
      </c>
      <c r="I14" s="3">
        <v>25.17</v>
      </c>
      <c r="J14" s="3">
        <v>157.63999999999999</v>
      </c>
    </row>
    <row r="15" spans="1:10" ht="15" thickBot="1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3">
        <v>472</v>
      </c>
      <c r="I15" s="3">
        <v>86.18</v>
      </c>
      <c r="J15" s="3">
        <v>201.46</v>
      </c>
    </row>
    <row r="16" spans="1:10" ht="15" thickBot="1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3">
        <v>47</v>
      </c>
      <c r="I16" s="3">
        <v>222.11</v>
      </c>
      <c r="J16" s="3">
        <v>160.08000000000001</v>
      </c>
    </row>
    <row r="17" spans="1:10" ht="15" thickBot="1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3">
        <v>337</v>
      </c>
      <c r="I17" s="3">
        <v>363.79</v>
      </c>
      <c r="J17" s="3">
        <v>216.81</v>
      </c>
    </row>
    <row r="18" spans="1:10" ht="15" thickBot="1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3">
        <v>260</v>
      </c>
      <c r="I18" s="3">
        <v>298.67</v>
      </c>
      <c r="J18" s="3">
        <v>251.92</v>
      </c>
    </row>
    <row r="19" spans="1:10" ht="15" thickBot="1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3">
        <v>398</v>
      </c>
      <c r="I19" s="3">
        <v>326.89999999999998</v>
      </c>
      <c r="J19" s="3">
        <v>270.37</v>
      </c>
    </row>
    <row r="20" spans="1:10" ht="15" thickBot="1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3">
        <v>185</v>
      </c>
      <c r="I20" s="3">
        <v>242.24</v>
      </c>
      <c r="J20" s="3">
        <v>213.93</v>
      </c>
    </row>
    <row r="21" spans="1:10" ht="15" thickBot="1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3">
        <v>99</v>
      </c>
      <c r="I21" s="3">
        <v>309.79000000000002</v>
      </c>
      <c r="J21" s="3">
        <v>289.13</v>
      </c>
    </row>
    <row r="22" spans="1:10" ht="15" thickBot="1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3">
        <v>411</v>
      </c>
      <c r="I22" s="3">
        <v>167.86</v>
      </c>
      <c r="J22" s="3">
        <v>58.23</v>
      </c>
    </row>
    <row r="23" spans="1:10" ht="15" thickBot="1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3">
        <v>463</v>
      </c>
      <c r="I23" s="3">
        <v>237.74</v>
      </c>
      <c r="J23" s="3">
        <v>86.37</v>
      </c>
    </row>
    <row r="24" spans="1:10" ht="15" thickBot="1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3">
        <v>46</v>
      </c>
      <c r="I24" s="3">
        <v>373.42</v>
      </c>
      <c r="J24" s="3">
        <v>327.86</v>
      </c>
    </row>
    <row r="25" spans="1:10" ht="15" thickBot="1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3">
        <v>325</v>
      </c>
      <c r="I25" s="3">
        <v>436.56</v>
      </c>
      <c r="J25" s="3">
        <v>130.37</v>
      </c>
    </row>
    <row r="26" spans="1:10" ht="15" thickBot="1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3">
        <v>185</v>
      </c>
      <c r="I26" s="3">
        <v>219.66</v>
      </c>
      <c r="J26" s="3">
        <v>11.11</v>
      </c>
    </row>
    <row r="27" spans="1:10" ht="15" thickBot="1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3">
        <v>470</v>
      </c>
      <c r="I27" s="3">
        <v>26.61</v>
      </c>
      <c r="J27" s="3">
        <v>63.21</v>
      </c>
    </row>
    <row r="28" spans="1:10" ht="15" thickBot="1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3">
        <v>293</v>
      </c>
      <c r="I28" s="3">
        <v>85.03</v>
      </c>
      <c r="J28" s="3">
        <v>91</v>
      </c>
    </row>
    <row r="29" spans="1:10" ht="15" thickBot="1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3">
        <v>462</v>
      </c>
      <c r="I29" s="3"/>
      <c r="J29" s="3">
        <v>383.01</v>
      </c>
    </row>
    <row r="30" spans="1:10" ht="15" thickBot="1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3">
        <v>470</v>
      </c>
      <c r="I30" s="3">
        <v>328.37</v>
      </c>
      <c r="J30" s="3">
        <v>230.07</v>
      </c>
    </row>
    <row r="31" spans="1:10" ht="15" thickBot="1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3">
        <v>90</v>
      </c>
      <c r="I31" s="3">
        <v>169.5</v>
      </c>
      <c r="J31" s="3">
        <v>373.23</v>
      </c>
    </row>
    <row r="32" spans="1:10" ht="15" thickBot="1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3">
        <v>123</v>
      </c>
      <c r="I32" s="3">
        <v>273.52999999999997</v>
      </c>
      <c r="J32" s="3">
        <v>230.92</v>
      </c>
    </row>
    <row r="33" spans="1:10" ht="15" thickBot="1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3">
        <v>49</v>
      </c>
      <c r="I33" s="3">
        <v>249.17</v>
      </c>
      <c r="J33" s="3">
        <v>192.78</v>
      </c>
    </row>
    <row r="34" spans="1:10" ht="15" thickBot="1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3">
        <v>310</v>
      </c>
      <c r="I34" s="3">
        <v>45.36</v>
      </c>
      <c r="J34" s="3">
        <v>126.86</v>
      </c>
    </row>
    <row r="35" spans="1:10" ht="15" thickBot="1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3">
        <v>233</v>
      </c>
      <c r="I35" s="3">
        <v>204.61</v>
      </c>
      <c r="J35" s="3">
        <v>243.34</v>
      </c>
    </row>
    <row r="36" spans="1:10" ht="15" thickBot="1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3">
        <v>327</v>
      </c>
      <c r="I36" s="3">
        <v>114.18</v>
      </c>
      <c r="J36" s="3">
        <v>57.4</v>
      </c>
    </row>
    <row r="37" spans="1:10" ht="15" thickBot="1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3">
        <v>358</v>
      </c>
      <c r="I37" s="3">
        <v>212.11</v>
      </c>
      <c r="J37" s="3">
        <v>359.51</v>
      </c>
    </row>
    <row r="38" spans="1:10" ht="15" thickBot="1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3">
        <v>124</v>
      </c>
      <c r="I38" s="3"/>
      <c r="J38" s="3">
        <v>332.07</v>
      </c>
    </row>
    <row r="39" spans="1:10" ht="15" thickBot="1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3">
        <v>195</v>
      </c>
      <c r="I39" s="3">
        <v>421.02</v>
      </c>
      <c r="J39" s="3">
        <v>128.38</v>
      </c>
    </row>
    <row r="40" spans="1:10" ht="15" thickBot="1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3">
        <v>91.23</v>
      </c>
      <c r="J40" s="3">
        <v>381.21</v>
      </c>
    </row>
    <row r="41" spans="1:10" ht="15" thickBot="1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3">
        <v>65</v>
      </c>
      <c r="I41" s="3">
        <v>480.59</v>
      </c>
      <c r="J41" s="3">
        <v>330.43</v>
      </c>
    </row>
    <row r="42" spans="1:10" ht="15" thickBot="1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3">
        <v>49</v>
      </c>
      <c r="I42" s="3">
        <v>210.87</v>
      </c>
      <c r="J42" s="3">
        <v>267.19</v>
      </c>
    </row>
    <row r="43" spans="1:10" ht="15" thickBot="1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3">
        <v>363</v>
      </c>
      <c r="I43" s="3">
        <v>423.89</v>
      </c>
      <c r="J43" s="3">
        <v>50.46</v>
      </c>
    </row>
    <row r="44" spans="1:10" ht="15" thickBot="1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3">
        <v>49</v>
      </c>
      <c r="I44" s="3">
        <v>316.24</v>
      </c>
      <c r="J44" s="3">
        <v>192.34</v>
      </c>
    </row>
    <row r="45" spans="1:10" ht="15" thickBot="1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3">
        <v>356</v>
      </c>
      <c r="I45" s="3">
        <v>369</v>
      </c>
      <c r="J45" s="3">
        <v>203.43</v>
      </c>
    </row>
    <row r="46" spans="1:10" ht="15" thickBot="1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3">
        <v>470</v>
      </c>
      <c r="I46" s="3"/>
      <c r="J46" s="3">
        <v>94.56</v>
      </c>
    </row>
    <row r="47" spans="1:10" ht="15" thickBot="1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3">
        <v>246</v>
      </c>
      <c r="I47" s="3">
        <v>254.9</v>
      </c>
      <c r="J47" s="3">
        <v>33.83</v>
      </c>
    </row>
    <row r="48" spans="1:10" ht="15" thickBot="1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3">
        <v>298</v>
      </c>
      <c r="I48" s="3">
        <v>273.93</v>
      </c>
      <c r="J48" s="3">
        <v>311.14</v>
      </c>
    </row>
    <row r="49" spans="1:10" ht="15" thickBot="1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3">
        <v>271</v>
      </c>
      <c r="I49" s="3">
        <v>259.43</v>
      </c>
      <c r="J49" s="3">
        <v>50.57</v>
      </c>
    </row>
    <row r="50" spans="1:10" ht="15" thickBot="1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3">
        <v>225</v>
      </c>
      <c r="I50" s="3">
        <v>296.08999999999997</v>
      </c>
      <c r="J50" s="3">
        <v>238.53</v>
      </c>
    </row>
    <row r="51" spans="1:10" ht="15" thickBot="1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3">
        <v>156</v>
      </c>
      <c r="I51" s="3">
        <v>19.55</v>
      </c>
      <c r="J51" s="3">
        <v>374.71</v>
      </c>
    </row>
    <row r="52" spans="1:10" ht="15" thickBot="1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3">
        <v>345</v>
      </c>
      <c r="I52" s="3">
        <v>200.78</v>
      </c>
      <c r="J52" s="3">
        <v>350.69</v>
      </c>
    </row>
    <row r="53" spans="1:10" ht="15" thickBot="1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3">
        <v>177</v>
      </c>
      <c r="I53" s="3">
        <v>305.06</v>
      </c>
      <c r="J53" s="3">
        <v>112.55</v>
      </c>
    </row>
    <row r="54" spans="1:10" ht="15" thickBot="1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3">
        <v>101</v>
      </c>
      <c r="I54" s="3">
        <v>300.87</v>
      </c>
      <c r="J54" s="3">
        <v>340.88</v>
      </c>
    </row>
    <row r="55" spans="1:10" ht="15" thickBot="1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3">
        <v>362</v>
      </c>
      <c r="I55" s="3">
        <v>397.51</v>
      </c>
      <c r="J55" s="3">
        <v>2.13</v>
      </c>
    </row>
    <row r="56" spans="1:10" ht="15" thickBot="1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3">
        <v>68</v>
      </c>
      <c r="I56" s="3">
        <v>329.23</v>
      </c>
      <c r="J56" s="3">
        <v>9.0399999999999991</v>
      </c>
    </row>
    <row r="57" spans="1:10" ht="15" thickBot="1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3">
        <v>68</v>
      </c>
      <c r="I57" s="3">
        <v>496.11</v>
      </c>
      <c r="J57" s="3">
        <v>241.82</v>
      </c>
    </row>
    <row r="58" spans="1:10" ht="15" thickBot="1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3">
        <v>313</v>
      </c>
      <c r="I58" s="3">
        <v>145.51</v>
      </c>
      <c r="J58" s="3">
        <v>147.19</v>
      </c>
    </row>
    <row r="59" spans="1:10" ht="15" thickBot="1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3">
        <v>178</v>
      </c>
      <c r="I59" s="3">
        <v>182.78</v>
      </c>
      <c r="J59" s="3">
        <v>155.81</v>
      </c>
    </row>
    <row r="60" spans="1:10" ht="15" thickBot="1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3">
        <v>278</v>
      </c>
      <c r="I60" s="3">
        <v>195</v>
      </c>
      <c r="J60" s="3">
        <v>226.65</v>
      </c>
    </row>
    <row r="61" spans="1:10" ht="15" thickBot="1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3">
        <v>372</v>
      </c>
      <c r="I61" s="3">
        <v>235.58</v>
      </c>
      <c r="J61" s="3">
        <v>78.33</v>
      </c>
    </row>
    <row r="62" spans="1:10" ht="15" thickBot="1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3">
        <v>54</v>
      </c>
      <c r="I62" s="3">
        <v>418.82</v>
      </c>
      <c r="J62" s="3">
        <v>86.28</v>
      </c>
    </row>
    <row r="63" spans="1:10" ht="15" thickBot="1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3">
        <v>354</v>
      </c>
      <c r="I63" s="3">
        <v>121.72</v>
      </c>
      <c r="J63" s="3">
        <v>194.87</v>
      </c>
    </row>
    <row r="64" spans="1:10" ht="15" thickBot="1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3">
        <v>190</v>
      </c>
      <c r="I64" s="3">
        <v>389.12</v>
      </c>
      <c r="J64" s="3">
        <v>302.19</v>
      </c>
    </row>
    <row r="65" spans="1:10" ht="15" thickBot="1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3">
        <v>179</v>
      </c>
      <c r="I65" s="3">
        <v>205.63</v>
      </c>
      <c r="J65" s="3">
        <v>248.56</v>
      </c>
    </row>
    <row r="66" spans="1:10" ht="15" thickBot="1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3">
        <v>365</v>
      </c>
      <c r="I66" s="3">
        <v>302.92</v>
      </c>
      <c r="J66" s="3">
        <v>120.35</v>
      </c>
    </row>
    <row r="67" spans="1:10" ht="15" thickBot="1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3">
        <v>200</v>
      </c>
      <c r="I67" s="3">
        <v>318.11</v>
      </c>
      <c r="J67" s="3">
        <v>173.27</v>
      </c>
    </row>
    <row r="68" spans="1:10" ht="15" thickBot="1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3">
        <v>164</v>
      </c>
      <c r="I68" s="3">
        <v>189.56</v>
      </c>
      <c r="J68" s="3">
        <v>69.92</v>
      </c>
    </row>
    <row r="69" spans="1:10" ht="15" thickBot="1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3">
        <v>431</v>
      </c>
      <c r="I69" s="3">
        <v>258.74</v>
      </c>
      <c r="J69" s="3">
        <v>31.7</v>
      </c>
    </row>
    <row r="70" spans="1:10" ht="15" thickBot="1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3">
        <v>197</v>
      </c>
      <c r="I70" s="3">
        <v>209.45</v>
      </c>
      <c r="J70" s="3">
        <v>313.51</v>
      </c>
    </row>
    <row r="71" spans="1:10" ht="15" thickBot="1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3">
        <v>16</v>
      </c>
      <c r="I71" s="3">
        <v>39.22</v>
      </c>
      <c r="J71" s="3">
        <v>107.62</v>
      </c>
    </row>
    <row r="72" spans="1:10" ht="15" thickBot="1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3">
        <v>142</v>
      </c>
      <c r="I72" s="3">
        <v>221.4</v>
      </c>
      <c r="J72" s="3">
        <v>72.75</v>
      </c>
    </row>
    <row r="73" spans="1:10" ht="15" thickBot="1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3">
        <v>244</v>
      </c>
      <c r="I73" s="3">
        <v>53.21</v>
      </c>
      <c r="J73" s="3">
        <v>277.26</v>
      </c>
    </row>
    <row r="74" spans="1:10" ht="15" thickBot="1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3">
        <v>54</v>
      </c>
      <c r="I74" s="3">
        <v>205.49</v>
      </c>
      <c r="J74" s="3">
        <v>247.98</v>
      </c>
    </row>
    <row r="75" spans="1:10" ht="15" thickBot="1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3">
        <v>323</v>
      </c>
      <c r="I75" s="3">
        <v>298.49</v>
      </c>
      <c r="J75" s="3">
        <v>254.01</v>
      </c>
    </row>
    <row r="76" spans="1:10" ht="15" thickBot="1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3">
        <v>258</v>
      </c>
      <c r="I76" s="3">
        <v>291.81</v>
      </c>
      <c r="J76" s="3">
        <v>93.1</v>
      </c>
    </row>
    <row r="77" spans="1:10" ht="15" thickBot="1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3">
        <v>40</v>
      </c>
      <c r="I77" s="3">
        <v>333</v>
      </c>
      <c r="J77" s="3">
        <v>94.59</v>
      </c>
    </row>
    <row r="78" spans="1:10" ht="15" thickBot="1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3">
        <v>32</v>
      </c>
      <c r="I78" s="3">
        <v>52.15</v>
      </c>
      <c r="J78" s="3">
        <v>89.88</v>
      </c>
    </row>
    <row r="79" spans="1:10" ht="15" thickBot="1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3">
        <v>435</v>
      </c>
      <c r="I79" s="3">
        <v>327.8</v>
      </c>
      <c r="J79" s="3">
        <v>71.150000000000006</v>
      </c>
    </row>
    <row r="80" spans="1:10" ht="15" thickBot="1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3">
        <v>403</v>
      </c>
      <c r="I80" s="3">
        <v>159.51</v>
      </c>
      <c r="J80" s="3">
        <v>262.98</v>
      </c>
    </row>
    <row r="81" spans="1:10" ht="15" thickBot="1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3">
        <v>169</v>
      </c>
      <c r="I81" s="3"/>
      <c r="J81" s="3">
        <v>339.51</v>
      </c>
    </row>
    <row r="82" spans="1:10" ht="15" thickBot="1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3">
        <v>372</v>
      </c>
      <c r="I82" s="3">
        <v>429.7</v>
      </c>
      <c r="J82" s="3">
        <v>290.27999999999997</v>
      </c>
    </row>
    <row r="83" spans="1:10" ht="15" thickBot="1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3">
        <v>446</v>
      </c>
      <c r="I83" s="3">
        <v>9.4700000000000006</v>
      </c>
      <c r="J83" s="3">
        <v>317.25</v>
      </c>
    </row>
    <row r="84" spans="1:10" ht="15" thickBot="1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3">
        <v>167</v>
      </c>
      <c r="I84" s="3">
        <v>296.26</v>
      </c>
      <c r="J84" s="3">
        <v>163.11000000000001</v>
      </c>
    </row>
    <row r="85" spans="1:10" ht="15" thickBot="1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3">
        <v>48</v>
      </c>
      <c r="I85" s="3">
        <v>301.36</v>
      </c>
      <c r="J85" s="3">
        <v>262.32</v>
      </c>
    </row>
    <row r="86" spans="1:10" ht="15" thickBot="1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3">
        <v>424</v>
      </c>
      <c r="I86" s="3">
        <v>201.35</v>
      </c>
      <c r="J86" s="3">
        <v>142.99</v>
      </c>
    </row>
    <row r="87" spans="1:10" ht="15" thickBot="1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3">
        <v>91</v>
      </c>
      <c r="I87" s="3">
        <v>122.33</v>
      </c>
      <c r="J87" s="3">
        <v>211.15</v>
      </c>
    </row>
    <row r="88" spans="1:10" ht="15" thickBot="1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3">
        <v>365</v>
      </c>
      <c r="I88" s="3">
        <v>121.16</v>
      </c>
      <c r="J88" s="3">
        <v>193.69</v>
      </c>
    </row>
    <row r="89" spans="1:10" ht="15" thickBot="1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3">
        <v>267</v>
      </c>
      <c r="I89" s="3">
        <v>442.44</v>
      </c>
      <c r="J89" s="3">
        <v>72.400000000000006</v>
      </c>
    </row>
    <row r="90" spans="1:10" ht="15" thickBot="1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3">
        <v>215</v>
      </c>
      <c r="I90" s="3">
        <v>223.8</v>
      </c>
      <c r="J90" s="3">
        <v>156.06</v>
      </c>
    </row>
    <row r="91" spans="1:10" ht="15" thickBot="1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3">
        <v>86</v>
      </c>
      <c r="I91" s="3">
        <v>168.79</v>
      </c>
      <c r="J91" s="3">
        <v>385.6</v>
      </c>
    </row>
    <row r="92" spans="1:10" ht="15" thickBot="1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3">
        <v>486</v>
      </c>
      <c r="I92" s="3">
        <v>227.14</v>
      </c>
      <c r="J92" s="3">
        <v>100.93</v>
      </c>
    </row>
    <row r="93" spans="1:10" ht="15" thickBot="1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3">
        <v>21</v>
      </c>
      <c r="I93" s="3"/>
      <c r="J93" s="3">
        <v>55.25</v>
      </c>
    </row>
    <row r="94" spans="1:10" ht="15" thickBot="1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3">
        <v>304</v>
      </c>
      <c r="I94" s="3">
        <v>77.150000000000006</v>
      </c>
      <c r="J94" s="3">
        <v>168.6</v>
      </c>
    </row>
    <row r="95" spans="1:10" ht="15" thickBot="1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3">
        <v>459</v>
      </c>
      <c r="I95" s="3">
        <v>227.47</v>
      </c>
      <c r="J95" s="3">
        <v>316.55</v>
      </c>
    </row>
    <row r="96" spans="1:10" ht="15" thickBot="1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3">
        <v>233</v>
      </c>
      <c r="I96" s="3">
        <v>296</v>
      </c>
      <c r="J96" s="3">
        <v>233.69</v>
      </c>
    </row>
    <row r="97" spans="1:10" ht="15" thickBot="1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3">
        <v>22</v>
      </c>
      <c r="I97" s="3">
        <v>474.55</v>
      </c>
      <c r="J97" s="3">
        <v>273.02999999999997</v>
      </c>
    </row>
    <row r="98" spans="1:10" ht="15" thickBot="1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3">
        <v>55</v>
      </c>
      <c r="I98" s="3">
        <v>130</v>
      </c>
      <c r="J98" s="3">
        <v>77.5</v>
      </c>
    </row>
    <row r="99" spans="1:10" ht="15" thickBot="1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3">
        <v>164</v>
      </c>
      <c r="I99" s="3">
        <v>182.83</v>
      </c>
      <c r="J99" s="3">
        <v>248.34</v>
      </c>
    </row>
    <row r="100" spans="1:10" ht="15" thickBot="1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3">
        <v>122</v>
      </c>
      <c r="I100" s="3">
        <v>192.78</v>
      </c>
      <c r="J100" s="3">
        <v>130.75</v>
      </c>
    </row>
    <row r="101" spans="1:10" ht="15" thickBot="1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3">
        <v>242</v>
      </c>
      <c r="I101" s="3">
        <v>304.74</v>
      </c>
      <c r="J101" s="3">
        <v>334.05</v>
      </c>
    </row>
    <row r="102" spans="1:10" ht="15" thickBot="1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3">
        <v>26</v>
      </c>
      <c r="I102" s="3">
        <v>181.58</v>
      </c>
      <c r="J102" s="3">
        <v>252.46</v>
      </c>
    </row>
    <row r="103" spans="1:10" ht="15" thickBot="1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3">
        <v>369</v>
      </c>
      <c r="I103" s="3">
        <v>269.08999999999997</v>
      </c>
      <c r="J103" s="3">
        <v>81.14</v>
      </c>
    </row>
    <row r="104" spans="1:10" ht="15" thickBot="1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3">
        <v>232</v>
      </c>
      <c r="I104" s="3">
        <v>391.99</v>
      </c>
      <c r="J104" s="3">
        <v>27.72</v>
      </c>
    </row>
    <row r="105" spans="1:10" ht="15" thickBot="1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3">
        <v>363</v>
      </c>
      <c r="I105" s="3">
        <v>354.17</v>
      </c>
      <c r="J105" s="3">
        <v>18.97</v>
      </c>
    </row>
    <row r="106" spans="1:10" ht="15" thickBot="1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3">
        <v>197</v>
      </c>
      <c r="I106" s="3">
        <v>225.95</v>
      </c>
      <c r="J106" s="3">
        <v>149.82</v>
      </c>
    </row>
    <row r="107" spans="1:10" ht="15" thickBot="1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3">
        <v>457</v>
      </c>
      <c r="I107" s="3">
        <v>432.79</v>
      </c>
      <c r="J107" s="3">
        <v>107.81</v>
      </c>
    </row>
    <row r="108" spans="1:10" ht="15" thickBot="1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3">
        <v>353</v>
      </c>
      <c r="I108" s="3">
        <v>281.27999999999997</v>
      </c>
      <c r="J108" s="3">
        <v>259.14</v>
      </c>
    </row>
    <row r="109" spans="1:10" ht="15" thickBot="1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3">
        <v>374</v>
      </c>
      <c r="I109" s="3">
        <v>272.25</v>
      </c>
      <c r="J109" s="3">
        <v>200.73</v>
      </c>
    </row>
    <row r="110" spans="1:10" ht="15" thickBot="1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3">
        <v>172</v>
      </c>
      <c r="I110" s="3">
        <v>21.92</v>
      </c>
      <c r="J110" s="3">
        <v>107.88</v>
      </c>
    </row>
    <row r="111" spans="1:10" ht="15" thickBot="1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3">
        <v>335</v>
      </c>
      <c r="I111" s="3">
        <v>493.41</v>
      </c>
      <c r="J111" s="3">
        <v>61.4</v>
      </c>
    </row>
    <row r="112" spans="1:10" ht="15" thickBot="1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3">
        <v>476</v>
      </c>
      <c r="I112" s="3">
        <v>65.87</v>
      </c>
      <c r="J112" s="3">
        <v>52.63</v>
      </c>
    </row>
    <row r="113" spans="1:10" ht="15" thickBot="1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3">
        <v>423</v>
      </c>
      <c r="I113" s="3">
        <v>119.41</v>
      </c>
      <c r="J113" s="3">
        <v>346.13</v>
      </c>
    </row>
    <row r="114" spans="1:10" ht="15" thickBot="1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3">
        <v>464</v>
      </c>
      <c r="I114" s="3">
        <v>30.59</v>
      </c>
      <c r="J114" s="3">
        <v>98.9</v>
      </c>
    </row>
    <row r="115" spans="1:10" ht="15" thickBot="1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3">
        <v>83</v>
      </c>
      <c r="I115" s="3">
        <v>321.8</v>
      </c>
      <c r="J115" s="3">
        <v>261.38</v>
      </c>
    </row>
    <row r="116" spans="1:10" ht="15" thickBot="1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3">
        <v>242</v>
      </c>
      <c r="I116" s="3">
        <v>116.23</v>
      </c>
      <c r="J116" s="3">
        <v>324.64999999999998</v>
      </c>
    </row>
    <row r="117" spans="1:10" ht="15" thickBot="1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3">
        <v>233</v>
      </c>
      <c r="I117" s="3">
        <v>94.11</v>
      </c>
      <c r="J117" s="3">
        <v>246.4</v>
      </c>
    </row>
    <row r="118" spans="1:10" ht="15" thickBot="1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3">
        <v>491</v>
      </c>
      <c r="I118" s="3">
        <v>48.84</v>
      </c>
      <c r="J118" s="3">
        <v>344.11</v>
      </c>
    </row>
    <row r="119" spans="1:10" ht="15" thickBot="1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3">
        <v>328</v>
      </c>
      <c r="I119" s="3">
        <v>56.14</v>
      </c>
      <c r="J119" s="3">
        <v>158.16999999999999</v>
      </c>
    </row>
    <row r="120" spans="1:10" ht="15" thickBot="1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3">
        <v>421</v>
      </c>
      <c r="I120" s="3">
        <v>294.41000000000003</v>
      </c>
      <c r="J120" s="3">
        <v>382.58</v>
      </c>
    </row>
    <row r="121" spans="1:10" ht="15" thickBot="1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3">
        <v>69</v>
      </c>
      <c r="I121" s="3">
        <v>345.66</v>
      </c>
      <c r="J121" s="3">
        <v>54.99</v>
      </c>
    </row>
    <row r="122" spans="1:10" ht="15" thickBot="1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3">
        <v>344</v>
      </c>
      <c r="I122" s="3">
        <v>201.7</v>
      </c>
      <c r="J122" s="3">
        <v>42.66</v>
      </c>
    </row>
    <row r="123" spans="1:10" ht="15" thickBot="1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3">
        <v>231</v>
      </c>
      <c r="I123" s="3">
        <v>242.55</v>
      </c>
      <c r="J123" s="3">
        <v>264.16000000000003</v>
      </c>
    </row>
    <row r="124" spans="1:10" ht="15" thickBot="1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3">
        <v>46</v>
      </c>
      <c r="I124" s="3">
        <v>344.55</v>
      </c>
      <c r="J124" s="3">
        <v>377.25</v>
      </c>
    </row>
    <row r="125" spans="1:10" ht="15" thickBot="1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3">
        <v>486</v>
      </c>
      <c r="I125" s="3">
        <v>13.6</v>
      </c>
      <c r="J125" s="3">
        <v>323.94</v>
      </c>
    </row>
    <row r="126" spans="1:10" ht="15" thickBot="1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3">
        <v>287</v>
      </c>
      <c r="I126" s="3">
        <v>164.95</v>
      </c>
      <c r="J126" s="3">
        <v>32.409999999999997</v>
      </c>
    </row>
    <row r="127" spans="1:10" ht="15" thickBot="1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3">
        <v>205</v>
      </c>
      <c r="I127" s="3">
        <v>486.68</v>
      </c>
      <c r="J127" s="3">
        <v>113.19</v>
      </c>
    </row>
    <row r="128" spans="1:10" ht="15" thickBot="1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3">
        <v>413</v>
      </c>
      <c r="I128" s="3">
        <v>292.16000000000003</v>
      </c>
      <c r="J128" s="3">
        <v>372.27</v>
      </c>
    </row>
    <row r="129" spans="1:10" ht="15" thickBot="1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3">
        <v>361</v>
      </c>
      <c r="I129" s="3">
        <v>130.84</v>
      </c>
      <c r="J129" s="3">
        <v>102.72</v>
      </c>
    </row>
    <row r="130" spans="1:10" ht="15" thickBot="1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3">
        <v>493</v>
      </c>
      <c r="I130" s="3">
        <v>263.26</v>
      </c>
      <c r="J130" s="3">
        <v>312.91000000000003</v>
      </c>
    </row>
    <row r="131" spans="1:10" ht="15" thickBot="1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3">
        <v>251</v>
      </c>
      <c r="I131" s="3">
        <v>174.61</v>
      </c>
      <c r="J131" s="3">
        <v>330.4</v>
      </c>
    </row>
    <row r="132" spans="1:10" ht="15" thickBot="1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3">
        <v>268.45999999999998</v>
      </c>
      <c r="J132" s="3">
        <v>199.19</v>
      </c>
    </row>
    <row r="133" spans="1:10" ht="15" thickBot="1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3">
        <v>228</v>
      </c>
      <c r="I133" s="3">
        <v>67.239999999999995</v>
      </c>
      <c r="J133" s="3">
        <v>155.77000000000001</v>
      </c>
    </row>
    <row r="134" spans="1:10" ht="15" thickBot="1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3">
        <v>201</v>
      </c>
      <c r="I134" s="3">
        <v>70.69</v>
      </c>
      <c r="J134" s="3">
        <v>181.15</v>
      </c>
    </row>
    <row r="135" spans="1:10" ht="15" thickBot="1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3">
        <v>26</v>
      </c>
      <c r="I135" s="3">
        <v>76.05</v>
      </c>
      <c r="J135" s="3">
        <v>92.33</v>
      </c>
    </row>
    <row r="136" spans="1:10" ht="15" thickBot="1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3">
        <v>21</v>
      </c>
      <c r="I136" s="3">
        <v>470.21</v>
      </c>
      <c r="J136" s="3">
        <v>355.98</v>
      </c>
    </row>
    <row r="137" spans="1:10" ht="15" thickBot="1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3">
        <v>415</v>
      </c>
      <c r="I137" s="3">
        <v>367.78</v>
      </c>
      <c r="J137" s="3">
        <v>181.35</v>
      </c>
    </row>
    <row r="138" spans="1:10" ht="15" thickBot="1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3">
        <v>410</v>
      </c>
      <c r="I138" s="3">
        <v>85.38</v>
      </c>
      <c r="J138" s="3">
        <v>353.22</v>
      </c>
    </row>
    <row r="139" spans="1:10" ht="15" thickBot="1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3">
        <v>403</v>
      </c>
      <c r="I139" s="3">
        <v>98.23</v>
      </c>
      <c r="J139" s="3">
        <v>44.07</v>
      </c>
    </row>
    <row r="140" spans="1:10" ht="15" thickBot="1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3">
        <v>383</v>
      </c>
      <c r="I140" s="3">
        <v>366.76</v>
      </c>
      <c r="J140" s="3">
        <v>395.33</v>
      </c>
    </row>
    <row r="141" spans="1:10" ht="15" thickBot="1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3">
        <v>202</v>
      </c>
      <c r="I141" s="3">
        <v>82.3</v>
      </c>
      <c r="J141" s="3">
        <v>178.42</v>
      </c>
    </row>
    <row r="142" spans="1:10" ht="15" thickBot="1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3">
        <v>31</v>
      </c>
      <c r="I142" s="3">
        <v>121.11</v>
      </c>
      <c r="J142" s="3">
        <v>21.04</v>
      </c>
    </row>
    <row r="143" spans="1:10" ht="15" thickBot="1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3">
        <v>483</v>
      </c>
      <c r="I143" s="3">
        <v>481.86</v>
      </c>
      <c r="J143" s="3">
        <v>17.13</v>
      </c>
    </row>
    <row r="144" spans="1:10" ht="15" thickBot="1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3">
        <v>129</v>
      </c>
      <c r="I144" s="3">
        <v>131.38</v>
      </c>
      <c r="J144" s="3">
        <v>298.99</v>
      </c>
    </row>
    <row r="145" spans="1:10" ht="15" thickBot="1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3">
        <v>219</v>
      </c>
      <c r="I145" s="3">
        <v>332.51</v>
      </c>
      <c r="J145" s="3">
        <v>264.3</v>
      </c>
    </row>
    <row r="146" spans="1:10" ht="15" thickBot="1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3">
        <v>315</v>
      </c>
      <c r="I146" s="3">
        <v>489.42</v>
      </c>
      <c r="J146" s="3">
        <v>321.25</v>
      </c>
    </row>
    <row r="147" spans="1:10" ht="15" thickBot="1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3">
        <v>279</v>
      </c>
      <c r="I147" s="3">
        <v>190.28</v>
      </c>
      <c r="J147" s="3">
        <v>43.94</v>
      </c>
    </row>
    <row r="148" spans="1:10" ht="15" thickBot="1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3">
        <v>201</v>
      </c>
      <c r="I148" s="3">
        <v>13.67</v>
      </c>
      <c r="J148" s="3">
        <v>16.16</v>
      </c>
    </row>
    <row r="149" spans="1:10" ht="15" thickBot="1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3">
        <v>184</v>
      </c>
      <c r="I149" s="3">
        <v>125.85</v>
      </c>
      <c r="J149" s="3">
        <v>204.41</v>
      </c>
    </row>
    <row r="150" spans="1:10" ht="15" thickBot="1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3">
        <v>294</v>
      </c>
      <c r="I150" s="3">
        <v>416.28</v>
      </c>
      <c r="J150" s="3">
        <v>156.26</v>
      </c>
    </row>
    <row r="151" spans="1:10" ht="15" thickBot="1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3">
        <v>213</v>
      </c>
      <c r="I151" s="3">
        <v>432.98</v>
      </c>
      <c r="J151" s="3">
        <v>185.85</v>
      </c>
    </row>
    <row r="152" spans="1:10" ht="15" thickBot="1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3">
        <v>173</v>
      </c>
      <c r="I152" s="3">
        <v>385.42</v>
      </c>
      <c r="J152" s="3">
        <v>396.65</v>
      </c>
    </row>
    <row r="153" spans="1:10" ht="15" thickBot="1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3">
        <v>260</v>
      </c>
      <c r="I153" s="3">
        <v>60.99</v>
      </c>
      <c r="J153" s="3">
        <v>388.36</v>
      </c>
    </row>
    <row r="154" spans="1:10" ht="15" thickBot="1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3">
        <v>236</v>
      </c>
      <c r="I154" s="3">
        <v>398.78</v>
      </c>
      <c r="J154" s="3">
        <v>377.04</v>
      </c>
    </row>
    <row r="155" spans="1:10" ht="15" thickBot="1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3">
        <v>445</v>
      </c>
      <c r="I155" s="3">
        <v>459.75</v>
      </c>
      <c r="J155" s="3">
        <v>313.97000000000003</v>
      </c>
    </row>
    <row r="156" spans="1:10" ht="15" thickBot="1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3">
        <v>390</v>
      </c>
      <c r="I156" s="3">
        <v>302.3</v>
      </c>
      <c r="J156" s="3">
        <v>143.22999999999999</v>
      </c>
    </row>
    <row r="157" spans="1:10" ht="15" thickBot="1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3">
        <v>469</v>
      </c>
      <c r="I157" s="3">
        <v>470.73</v>
      </c>
      <c r="J157" s="3">
        <v>166.03</v>
      </c>
    </row>
    <row r="158" spans="1:10" ht="15" thickBot="1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3">
        <v>16</v>
      </c>
      <c r="I158" s="3"/>
      <c r="J158" s="3">
        <v>220.75</v>
      </c>
    </row>
    <row r="159" spans="1:10" ht="15" thickBot="1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3">
        <v>38</v>
      </c>
      <c r="I159" s="3">
        <v>335.15</v>
      </c>
      <c r="J159" s="3">
        <v>332.55</v>
      </c>
    </row>
    <row r="160" spans="1:10" ht="15" thickBot="1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3">
        <v>404</v>
      </c>
      <c r="I160" s="3">
        <v>290.70999999999998</v>
      </c>
      <c r="J160" s="3">
        <v>29.35</v>
      </c>
    </row>
    <row r="161" spans="1:10" ht="15" thickBot="1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3">
        <v>42</v>
      </c>
      <c r="I161" s="3">
        <v>177.54</v>
      </c>
      <c r="J161" s="3">
        <v>170.87</v>
      </c>
    </row>
    <row r="162" spans="1:10" ht="15" thickBot="1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3">
        <v>143</v>
      </c>
      <c r="I162" s="3">
        <v>83.85</v>
      </c>
      <c r="J162" s="3">
        <v>34.880000000000003</v>
      </c>
    </row>
    <row r="163" spans="1:10" ht="15" thickBot="1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3">
        <v>376</v>
      </c>
      <c r="I163" s="3">
        <v>304.45</v>
      </c>
      <c r="J163" s="3">
        <v>206.83</v>
      </c>
    </row>
    <row r="164" spans="1:10" ht="15" thickBot="1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3">
        <v>88</v>
      </c>
      <c r="I164" s="3">
        <v>162.47</v>
      </c>
      <c r="J164" s="3">
        <v>359.76</v>
      </c>
    </row>
    <row r="165" spans="1:10" ht="15" thickBot="1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3">
        <v>425</v>
      </c>
      <c r="I165" s="3">
        <v>433.89</v>
      </c>
      <c r="J165" s="3">
        <v>313.43</v>
      </c>
    </row>
    <row r="166" spans="1:10" ht="15" thickBot="1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3">
        <v>444</v>
      </c>
      <c r="I166" s="3">
        <v>496.7</v>
      </c>
      <c r="J166" s="3">
        <v>92.68</v>
      </c>
    </row>
    <row r="167" spans="1:10" ht="15" thickBot="1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3">
        <v>468</v>
      </c>
      <c r="I167" s="3">
        <v>377.45</v>
      </c>
      <c r="J167" s="3">
        <v>390.44</v>
      </c>
    </row>
    <row r="168" spans="1:10" ht="15" thickBot="1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3">
        <v>67</v>
      </c>
      <c r="I168" s="3">
        <v>49.79</v>
      </c>
      <c r="J168" s="3">
        <v>267.61</v>
      </c>
    </row>
    <row r="169" spans="1:10" ht="15" thickBot="1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3">
        <v>480</v>
      </c>
      <c r="I169" s="3">
        <v>147.9</v>
      </c>
      <c r="J169" s="3">
        <v>6.15</v>
      </c>
    </row>
    <row r="170" spans="1:10" ht="15" thickBot="1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3">
        <v>35</v>
      </c>
      <c r="I170" s="3">
        <v>59.01</v>
      </c>
      <c r="J170" s="3">
        <v>103.65</v>
      </c>
    </row>
    <row r="171" spans="1:10" ht="15" thickBot="1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3">
        <v>491</v>
      </c>
      <c r="I171" s="3">
        <v>327</v>
      </c>
      <c r="J171" s="3">
        <v>105.76</v>
      </c>
    </row>
    <row r="172" spans="1:10" ht="15" thickBot="1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3">
        <v>439</v>
      </c>
      <c r="I172" s="3">
        <v>383.77</v>
      </c>
      <c r="J172" s="3">
        <v>29.56</v>
      </c>
    </row>
    <row r="173" spans="1:10" ht="15" thickBot="1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3">
        <v>235</v>
      </c>
      <c r="I173" s="3">
        <v>463.21</v>
      </c>
      <c r="J173" s="3">
        <v>384.01</v>
      </c>
    </row>
    <row r="174" spans="1:10" ht="15" thickBot="1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3">
        <v>294</v>
      </c>
      <c r="I174" s="3">
        <v>221.9</v>
      </c>
      <c r="J174" s="3">
        <v>192.35</v>
      </c>
    </row>
    <row r="175" spans="1:10" ht="15" thickBot="1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3">
        <v>13</v>
      </c>
      <c r="I175" s="3">
        <v>451.18</v>
      </c>
      <c r="J175" s="3">
        <v>358.53</v>
      </c>
    </row>
    <row r="176" spans="1:10" ht="15" thickBot="1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3">
        <v>474</v>
      </c>
      <c r="I176" s="3">
        <v>439.56</v>
      </c>
      <c r="J176" s="3">
        <v>130.24</v>
      </c>
    </row>
    <row r="177" spans="1:10" ht="15" thickBot="1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3">
        <v>108</v>
      </c>
      <c r="I177" s="3">
        <v>162.01</v>
      </c>
      <c r="J177" s="3">
        <v>51.84</v>
      </c>
    </row>
    <row r="178" spans="1:10" ht="15" thickBot="1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3">
        <v>406</v>
      </c>
      <c r="I178" s="3">
        <v>435.11</v>
      </c>
      <c r="J178" s="3">
        <v>190.79</v>
      </c>
    </row>
    <row r="179" spans="1:10" ht="15" thickBot="1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3">
        <v>498</v>
      </c>
      <c r="I179" s="3">
        <v>190.96</v>
      </c>
      <c r="J179" s="3">
        <v>47.35</v>
      </c>
    </row>
    <row r="180" spans="1:10" ht="15" thickBot="1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3">
        <v>48</v>
      </c>
      <c r="I180" s="3">
        <v>151.94999999999999</v>
      </c>
      <c r="J180" s="3">
        <v>195.43</v>
      </c>
    </row>
    <row r="181" spans="1:10" ht="15" thickBot="1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3">
        <v>280</v>
      </c>
      <c r="I181" s="3">
        <v>326.29000000000002</v>
      </c>
      <c r="J181" s="3">
        <v>368.28</v>
      </c>
    </row>
    <row r="182" spans="1:10" ht="15" thickBot="1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3">
        <v>384</v>
      </c>
      <c r="I182" s="3">
        <v>167.55</v>
      </c>
      <c r="J182" s="3">
        <v>209.27</v>
      </c>
    </row>
    <row r="183" spans="1:10" ht="15" thickBot="1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3">
        <v>294</v>
      </c>
      <c r="I183" s="3">
        <v>316.95</v>
      </c>
      <c r="J183" s="3">
        <v>247.37</v>
      </c>
    </row>
    <row r="184" spans="1:10" ht="15" thickBot="1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3">
        <v>166</v>
      </c>
      <c r="I184" s="3">
        <v>306.87</v>
      </c>
      <c r="J184" s="3">
        <v>64.34</v>
      </c>
    </row>
    <row r="185" spans="1:10" ht="15" thickBot="1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3">
        <v>84</v>
      </c>
      <c r="I185" s="3">
        <v>283.89999999999998</v>
      </c>
      <c r="J185" s="3">
        <v>19.41</v>
      </c>
    </row>
    <row r="186" spans="1:10" ht="15" thickBot="1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3">
        <v>381</v>
      </c>
      <c r="I186" s="3">
        <v>193.31</v>
      </c>
      <c r="J186" s="3">
        <v>46.1</v>
      </c>
    </row>
    <row r="187" spans="1:10" ht="15" thickBot="1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3">
        <v>297</v>
      </c>
      <c r="I187" s="3">
        <v>276.51</v>
      </c>
      <c r="J187" s="3">
        <v>240.22</v>
      </c>
    </row>
    <row r="188" spans="1:10" ht="15" thickBot="1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3">
        <v>139</v>
      </c>
      <c r="I188" s="3">
        <v>300.26</v>
      </c>
      <c r="J188" s="3">
        <v>39.81</v>
      </c>
    </row>
    <row r="189" spans="1:10" ht="15" thickBot="1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3">
        <v>184</v>
      </c>
      <c r="I189" s="3">
        <v>275.12</v>
      </c>
      <c r="J189" s="3">
        <v>151.65</v>
      </c>
    </row>
    <row r="190" spans="1:10" ht="15" thickBot="1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3">
        <v>471</v>
      </c>
      <c r="I190" s="3">
        <v>224.99</v>
      </c>
      <c r="J190" s="3">
        <v>220.94</v>
      </c>
    </row>
    <row r="191" spans="1:10" ht="15" thickBot="1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3">
        <v>93</v>
      </c>
      <c r="I191" s="3">
        <v>12.26</v>
      </c>
      <c r="J191" s="3">
        <v>156.68</v>
      </c>
    </row>
    <row r="192" spans="1:10" ht="15" thickBot="1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3">
        <v>31</v>
      </c>
      <c r="I192" s="3">
        <v>295.60000000000002</v>
      </c>
      <c r="J192" s="3">
        <v>67.150000000000006</v>
      </c>
    </row>
    <row r="193" spans="1:10" ht="15" thickBot="1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3">
        <v>468</v>
      </c>
      <c r="I193" s="3">
        <v>88.38</v>
      </c>
      <c r="J193" s="3">
        <v>110.97</v>
      </c>
    </row>
    <row r="194" spans="1:10" ht="15" thickBot="1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3">
        <v>36</v>
      </c>
      <c r="I194" s="3">
        <v>323.08</v>
      </c>
      <c r="J194" s="3">
        <v>371.47</v>
      </c>
    </row>
    <row r="195" spans="1:10" ht="15" thickBot="1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3">
        <v>204</v>
      </c>
      <c r="I195" s="3">
        <v>380.88</v>
      </c>
      <c r="J195" s="3">
        <v>271.04000000000002</v>
      </c>
    </row>
    <row r="196" spans="1:10" ht="15" thickBot="1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3">
        <v>346</v>
      </c>
      <c r="I196" s="3">
        <v>252.72</v>
      </c>
      <c r="J196" s="3">
        <v>199.43</v>
      </c>
    </row>
    <row r="197" spans="1:10" ht="15" thickBot="1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3">
        <v>391</v>
      </c>
      <c r="I197" s="3">
        <v>273.47000000000003</v>
      </c>
      <c r="J197" s="3">
        <v>7.06</v>
      </c>
    </row>
    <row r="198" spans="1:10" ht="15" thickBot="1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3">
        <v>245</v>
      </c>
      <c r="I198" s="3">
        <v>475.98</v>
      </c>
      <c r="J198" s="3">
        <v>396.98</v>
      </c>
    </row>
    <row r="199" spans="1:10" ht="15" thickBot="1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3">
        <v>449</v>
      </c>
      <c r="I199" s="3">
        <v>424.35</v>
      </c>
      <c r="J199" s="3">
        <v>269.24</v>
      </c>
    </row>
    <row r="200" spans="1:10" ht="15" thickBot="1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3">
        <v>101</v>
      </c>
      <c r="I200" s="3">
        <v>457.55</v>
      </c>
      <c r="J200" s="3">
        <v>128.13999999999999</v>
      </c>
    </row>
    <row r="201" spans="1:10" ht="15" thickBot="1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3">
        <v>407.81</v>
      </c>
      <c r="J201" s="3">
        <v>351.95</v>
      </c>
    </row>
    <row r="202" spans="1:10" ht="15" thickBot="1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3">
        <v>30</v>
      </c>
      <c r="I202" s="3">
        <v>58.91</v>
      </c>
      <c r="J202" s="3">
        <v>104.86</v>
      </c>
    </row>
    <row r="203" spans="1:10" ht="15" thickBot="1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3">
        <v>312</v>
      </c>
      <c r="I203" s="3">
        <v>78.75</v>
      </c>
      <c r="J203" s="3">
        <v>218.52</v>
      </c>
    </row>
    <row r="204" spans="1:10" ht="15" thickBot="1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3">
        <v>473</v>
      </c>
      <c r="I204" s="3">
        <v>265.68</v>
      </c>
      <c r="J204" s="3">
        <v>255.16</v>
      </c>
    </row>
    <row r="205" spans="1:10" ht="15" thickBot="1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3">
        <v>366</v>
      </c>
      <c r="I205" s="3">
        <v>126.8</v>
      </c>
      <c r="J205" s="3">
        <v>89.98</v>
      </c>
    </row>
    <row r="206" spans="1:10" ht="15" thickBot="1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3">
        <v>452</v>
      </c>
      <c r="I206" s="3">
        <v>240.96</v>
      </c>
      <c r="J206" s="3">
        <v>391.4</v>
      </c>
    </row>
    <row r="207" spans="1:10" ht="15" thickBot="1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3">
        <v>93</v>
      </c>
      <c r="I207" s="3">
        <v>200.21</v>
      </c>
      <c r="J207" s="3">
        <v>299.77999999999997</v>
      </c>
    </row>
    <row r="208" spans="1:10" ht="15" thickBot="1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3">
        <v>271</v>
      </c>
      <c r="I208" s="3">
        <v>276.95999999999998</v>
      </c>
      <c r="J208" s="3">
        <v>224.01</v>
      </c>
    </row>
    <row r="209" spans="1:10" ht="15" thickBot="1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3">
        <v>156</v>
      </c>
      <c r="I209" s="3">
        <v>374.7</v>
      </c>
      <c r="J209" s="3">
        <v>73.88</v>
      </c>
    </row>
    <row r="210" spans="1:10" ht="15" thickBot="1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3">
        <v>450</v>
      </c>
      <c r="I210" s="3">
        <v>359.17</v>
      </c>
      <c r="J210" s="3">
        <v>23.44</v>
      </c>
    </row>
    <row r="211" spans="1:10" ht="15" thickBot="1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3">
        <v>462</v>
      </c>
      <c r="I211" s="3">
        <v>263.01</v>
      </c>
      <c r="J211" s="3">
        <v>129.38</v>
      </c>
    </row>
    <row r="212" spans="1:10" ht="15" thickBot="1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3">
        <v>396</v>
      </c>
      <c r="I212" s="3">
        <v>412.08</v>
      </c>
      <c r="J212" s="3">
        <v>301.77</v>
      </c>
    </row>
    <row r="213" spans="1:10" ht="15" thickBot="1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3">
        <v>266</v>
      </c>
      <c r="I213" s="3">
        <v>218.28</v>
      </c>
      <c r="J213" s="3">
        <v>109.19</v>
      </c>
    </row>
    <row r="214" spans="1:10" ht="15" thickBot="1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3">
        <v>67</v>
      </c>
      <c r="I214" s="3">
        <v>448.87</v>
      </c>
      <c r="J214" s="3">
        <v>216.74</v>
      </c>
    </row>
    <row r="215" spans="1:10" ht="15" thickBot="1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3">
        <v>389</v>
      </c>
      <c r="I215" s="3">
        <v>40.28</v>
      </c>
      <c r="J215" s="3">
        <v>291.72000000000003</v>
      </c>
    </row>
    <row r="216" spans="1:10" ht="15" thickBot="1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3">
        <v>431</v>
      </c>
      <c r="I216" s="3">
        <v>477.56</v>
      </c>
      <c r="J216" s="3">
        <v>44.96</v>
      </c>
    </row>
    <row r="217" spans="1:10" ht="15" thickBot="1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3">
        <v>24</v>
      </c>
      <c r="I217" s="3">
        <v>329.07</v>
      </c>
      <c r="J217" s="3">
        <v>274.75</v>
      </c>
    </row>
    <row r="218" spans="1:10" ht="15" thickBot="1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3">
        <v>171</v>
      </c>
      <c r="I218" s="3">
        <v>193.14</v>
      </c>
      <c r="J218" s="3">
        <v>38.56</v>
      </c>
    </row>
    <row r="219" spans="1:10" ht="15" thickBot="1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3">
        <v>454</v>
      </c>
      <c r="I219" s="3">
        <v>102.59</v>
      </c>
      <c r="J219" s="3">
        <v>386.12</v>
      </c>
    </row>
    <row r="220" spans="1:10" ht="15" thickBot="1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3">
        <v>172</v>
      </c>
      <c r="I220" s="3">
        <v>242.2</v>
      </c>
      <c r="J220" s="3">
        <v>196.38</v>
      </c>
    </row>
    <row r="221" spans="1:10" ht="15" thickBot="1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3">
        <v>329</v>
      </c>
      <c r="I221" s="3">
        <v>101.31</v>
      </c>
      <c r="J221" s="3">
        <v>61.97</v>
      </c>
    </row>
    <row r="222" spans="1:10" ht="15" thickBot="1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3">
        <v>290</v>
      </c>
      <c r="I222" s="3">
        <v>87.33</v>
      </c>
      <c r="J222" s="3">
        <v>138.27000000000001</v>
      </c>
    </row>
    <row r="223" spans="1:10" ht="15" thickBot="1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3">
        <v>289</v>
      </c>
      <c r="I223" s="3">
        <v>310.58999999999997</v>
      </c>
      <c r="J223" s="3">
        <v>166.54</v>
      </c>
    </row>
    <row r="224" spans="1:10" ht="15" thickBot="1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3">
        <v>21</v>
      </c>
      <c r="I224" s="3">
        <v>263.93</v>
      </c>
      <c r="J224" s="3">
        <v>303.76</v>
      </c>
    </row>
    <row r="225" spans="1:10" ht="15" thickBot="1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3">
        <v>283</v>
      </c>
      <c r="I225" s="3">
        <v>336.7</v>
      </c>
      <c r="J225" s="3">
        <v>297.88</v>
      </c>
    </row>
    <row r="226" spans="1:10" ht="15" thickBot="1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3">
        <v>280</v>
      </c>
      <c r="I226" s="3">
        <v>465.15</v>
      </c>
      <c r="J226" s="3">
        <v>245.55</v>
      </c>
    </row>
    <row r="227" spans="1:10" ht="15" thickBot="1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3">
        <v>217</v>
      </c>
      <c r="I227" s="3">
        <v>268.47000000000003</v>
      </c>
      <c r="J227" s="3">
        <v>44.16</v>
      </c>
    </row>
    <row r="228" spans="1:10" ht="15" thickBot="1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3">
        <v>36</v>
      </c>
      <c r="I228" s="3">
        <v>292.56</v>
      </c>
      <c r="J228" s="3">
        <v>62.32</v>
      </c>
    </row>
    <row r="229" spans="1:10" ht="15" thickBot="1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3">
        <v>49.37</v>
      </c>
      <c r="J229" s="3">
        <v>39.32</v>
      </c>
    </row>
    <row r="230" spans="1:10" ht="15" thickBot="1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3">
        <v>69</v>
      </c>
      <c r="I230" s="3">
        <v>360.23</v>
      </c>
      <c r="J230" s="3">
        <v>231.71</v>
      </c>
    </row>
    <row r="231" spans="1:10" ht="15" thickBot="1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3">
        <v>439</v>
      </c>
      <c r="I231" s="3">
        <v>202.95</v>
      </c>
      <c r="J231" s="3">
        <v>351.1</v>
      </c>
    </row>
    <row r="232" spans="1:10" ht="15" thickBot="1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3">
        <v>482</v>
      </c>
      <c r="I232" s="3">
        <v>488.48</v>
      </c>
      <c r="J232" s="3">
        <v>174.65</v>
      </c>
    </row>
    <row r="233" spans="1:10" ht="15" thickBot="1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3">
        <v>154</v>
      </c>
      <c r="I233" s="3">
        <v>412.47</v>
      </c>
      <c r="J233" s="3">
        <v>66.02</v>
      </c>
    </row>
    <row r="234" spans="1:10" ht="15" thickBot="1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3">
        <v>102</v>
      </c>
      <c r="I234" s="3">
        <v>263.63</v>
      </c>
      <c r="J234" s="3">
        <v>224.1</v>
      </c>
    </row>
    <row r="235" spans="1:10" ht="15" thickBot="1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3">
        <v>318</v>
      </c>
      <c r="I235" s="3">
        <v>66</v>
      </c>
      <c r="J235" s="3">
        <v>325.08</v>
      </c>
    </row>
    <row r="236" spans="1:10" ht="15" thickBot="1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3">
        <v>17</v>
      </c>
      <c r="I236" s="3">
        <v>430.41</v>
      </c>
      <c r="J236" s="3">
        <v>297.2</v>
      </c>
    </row>
    <row r="237" spans="1:10" ht="15" thickBot="1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3">
        <v>88</v>
      </c>
      <c r="I237" s="3">
        <v>400.89</v>
      </c>
      <c r="J237" s="3">
        <v>352.82</v>
      </c>
    </row>
    <row r="238" spans="1:10" ht="15" thickBot="1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3">
        <v>36</v>
      </c>
      <c r="I238" s="3">
        <v>96.37</v>
      </c>
      <c r="J238" s="3">
        <v>112.61</v>
      </c>
    </row>
    <row r="239" spans="1:10" ht="15" thickBot="1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3">
        <v>183</v>
      </c>
      <c r="I239" s="3">
        <v>151.16</v>
      </c>
      <c r="J239" s="3">
        <v>79.19</v>
      </c>
    </row>
    <row r="240" spans="1:10" ht="15" thickBot="1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3">
        <v>59</v>
      </c>
      <c r="I240" s="3">
        <v>397.74</v>
      </c>
      <c r="J240" s="3">
        <v>352.17</v>
      </c>
    </row>
    <row r="241" spans="1:10" ht="15" thickBot="1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3">
        <v>208</v>
      </c>
      <c r="I241" s="3">
        <v>96.69</v>
      </c>
      <c r="J241" s="3">
        <v>263.70999999999998</v>
      </c>
    </row>
    <row r="242" spans="1:10" ht="15" thickBot="1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3">
        <v>396</v>
      </c>
      <c r="I242" s="3">
        <v>459.29</v>
      </c>
      <c r="J242" s="3">
        <v>125.75</v>
      </c>
    </row>
    <row r="243" spans="1:10" ht="15" thickBot="1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3">
        <v>358</v>
      </c>
      <c r="I243" s="3">
        <v>215.14</v>
      </c>
      <c r="J243" s="3">
        <v>297.45</v>
      </c>
    </row>
    <row r="244" spans="1:10" ht="15" thickBot="1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3">
        <v>457</v>
      </c>
      <c r="I244" s="3">
        <v>48.08</v>
      </c>
      <c r="J244" s="3">
        <v>326.42</v>
      </c>
    </row>
    <row r="245" spans="1:10" ht="15" thickBot="1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3">
        <v>437</v>
      </c>
      <c r="I245" s="3">
        <v>408.8</v>
      </c>
      <c r="J245" s="3">
        <v>246.76</v>
      </c>
    </row>
    <row r="246" spans="1:10" ht="15" thickBot="1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3">
        <v>190</v>
      </c>
      <c r="I246" s="3">
        <v>189.89</v>
      </c>
      <c r="J246" s="3">
        <v>275.77999999999997</v>
      </c>
    </row>
    <row r="247" spans="1:10" ht="15" thickBot="1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3">
        <v>33</v>
      </c>
      <c r="I247" s="3">
        <v>265.62</v>
      </c>
      <c r="J247" s="3">
        <v>151.35</v>
      </c>
    </row>
    <row r="248" spans="1:10" ht="15" thickBot="1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3">
        <v>325</v>
      </c>
      <c r="I248" s="3">
        <v>60.59</v>
      </c>
      <c r="J248" s="3">
        <v>216.4</v>
      </c>
    </row>
    <row r="249" spans="1:10" ht="15" thickBot="1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3">
        <v>387</v>
      </c>
      <c r="I249" s="3">
        <v>6.28</v>
      </c>
      <c r="J249" s="3">
        <v>210.62</v>
      </c>
    </row>
    <row r="250" spans="1:10" ht="15" thickBot="1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3">
        <v>396</v>
      </c>
      <c r="I250" s="3">
        <v>320.8</v>
      </c>
      <c r="J250" s="3">
        <v>339.52</v>
      </c>
    </row>
    <row r="251" spans="1:10" ht="15" thickBot="1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3">
        <v>413</v>
      </c>
      <c r="I251" s="3">
        <v>260.01</v>
      </c>
      <c r="J251" s="3">
        <v>336.31</v>
      </c>
    </row>
    <row r="252" spans="1:10" ht="15" thickBot="1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3">
        <v>298.8</v>
      </c>
      <c r="J252" s="3">
        <v>333.41</v>
      </c>
    </row>
    <row r="253" spans="1:10" ht="15" thickBot="1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3">
        <v>24</v>
      </c>
      <c r="I253" s="3">
        <v>397.9</v>
      </c>
      <c r="J253" s="3">
        <v>6.39</v>
      </c>
    </row>
    <row r="254" spans="1:10" ht="15" thickBot="1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3">
        <v>162</v>
      </c>
      <c r="I254" s="3">
        <v>325.07</v>
      </c>
      <c r="J254" s="3">
        <v>300.32</v>
      </c>
    </row>
    <row r="255" spans="1:10" ht="15" thickBot="1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3">
        <v>231</v>
      </c>
      <c r="I255" s="3">
        <v>91.51</v>
      </c>
      <c r="J255" s="3">
        <v>303.95</v>
      </c>
    </row>
    <row r="256" spans="1:10" ht="15" thickBot="1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3">
        <v>215</v>
      </c>
      <c r="I256" s="3">
        <v>183.58</v>
      </c>
      <c r="J256" s="3">
        <v>271.99</v>
      </c>
    </row>
    <row r="257" spans="1:10" ht="15" thickBot="1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3">
        <v>464</v>
      </c>
      <c r="I257" s="3">
        <v>453.42</v>
      </c>
      <c r="J257" s="3">
        <v>302.99</v>
      </c>
    </row>
    <row r="258" spans="1:10" ht="15" thickBot="1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3">
        <v>282</v>
      </c>
      <c r="I258" s="3"/>
      <c r="J258" s="3">
        <v>337.1</v>
      </c>
    </row>
    <row r="259" spans="1:10" ht="15" thickBot="1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3">
        <v>391</v>
      </c>
      <c r="I259" s="3">
        <v>280.54000000000002</v>
      </c>
      <c r="J259" s="3">
        <v>189.19</v>
      </c>
    </row>
    <row r="260" spans="1:10" ht="15" thickBot="1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3">
        <v>245</v>
      </c>
      <c r="I260" s="3">
        <v>131.54</v>
      </c>
      <c r="J260" s="3">
        <v>201.82</v>
      </c>
    </row>
    <row r="261" spans="1:10" ht="15" thickBot="1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3">
        <v>349</v>
      </c>
      <c r="I261" s="3">
        <v>154.52000000000001</v>
      </c>
      <c r="J261" s="3">
        <v>51.64</v>
      </c>
    </row>
    <row r="262" spans="1:10" ht="15" thickBot="1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3">
        <v>237</v>
      </c>
      <c r="I262" s="3"/>
      <c r="J262" s="3">
        <v>155.38</v>
      </c>
    </row>
    <row r="263" spans="1:10" ht="15" thickBot="1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3">
        <v>18</v>
      </c>
      <c r="I263" s="3">
        <v>426.33</v>
      </c>
      <c r="J263" s="3">
        <v>258.06</v>
      </c>
    </row>
    <row r="264" spans="1:10" ht="15" thickBot="1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3">
        <v>175</v>
      </c>
      <c r="I264" s="3">
        <v>337.36</v>
      </c>
      <c r="J264" s="3">
        <v>312.60000000000002</v>
      </c>
    </row>
    <row r="265" spans="1:10" ht="15" thickBot="1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3">
        <v>441</v>
      </c>
      <c r="I265" s="3">
        <v>405.72</v>
      </c>
      <c r="J265" s="3">
        <v>88.45</v>
      </c>
    </row>
    <row r="266" spans="1:10" ht="15" thickBot="1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3">
        <v>453</v>
      </c>
      <c r="I266" s="3">
        <v>384.49</v>
      </c>
      <c r="J266" s="3">
        <v>56.85</v>
      </c>
    </row>
    <row r="267" spans="1:10" ht="15" thickBot="1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3">
        <v>328</v>
      </c>
      <c r="I267" s="3">
        <v>79.099999999999994</v>
      </c>
      <c r="J267" s="3">
        <v>265.89</v>
      </c>
    </row>
    <row r="268" spans="1:10" ht="15" thickBot="1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3">
        <v>223</v>
      </c>
      <c r="I268" s="3">
        <v>214.85</v>
      </c>
      <c r="J268" s="3">
        <v>2.75</v>
      </c>
    </row>
    <row r="269" spans="1:10" ht="15" thickBot="1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3">
        <v>126</v>
      </c>
      <c r="I269" s="3">
        <v>80.73</v>
      </c>
      <c r="J269" s="3">
        <v>72.989999999999995</v>
      </c>
    </row>
    <row r="270" spans="1:10" ht="15" thickBot="1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3">
        <v>395</v>
      </c>
      <c r="I270" s="3">
        <v>121.44</v>
      </c>
      <c r="J270" s="3">
        <v>13.57</v>
      </c>
    </row>
    <row r="271" spans="1:10" ht="15" thickBot="1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3">
        <v>353</v>
      </c>
      <c r="I271" s="3">
        <v>435.28</v>
      </c>
      <c r="J271" s="3">
        <v>68.42</v>
      </c>
    </row>
    <row r="272" spans="1:10" ht="15" thickBot="1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3">
        <v>81</v>
      </c>
      <c r="I272" s="3">
        <v>239.08</v>
      </c>
      <c r="J272" s="3">
        <v>74.17</v>
      </c>
    </row>
    <row r="273" spans="1:10" ht="15" thickBot="1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3">
        <v>404</v>
      </c>
      <c r="I273" s="3">
        <v>270</v>
      </c>
      <c r="J273" s="3">
        <v>156.29</v>
      </c>
    </row>
    <row r="274" spans="1:10" ht="15" thickBot="1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3">
        <v>73</v>
      </c>
      <c r="I274" s="3">
        <v>93.33</v>
      </c>
      <c r="J274" s="3">
        <v>162.13</v>
      </c>
    </row>
    <row r="275" spans="1:10" ht="15" thickBot="1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3">
        <v>214</v>
      </c>
      <c r="I275" s="3">
        <v>159.57</v>
      </c>
      <c r="J275" s="3">
        <v>349.96</v>
      </c>
    </row>
    <row r="276" spans="1:10" ht="15" thickBot="1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3">
        <v>218</v>
      </c>
      <c r="I276" s="3">
        <v>118.97</v>
      </c>
      <c r="J276" s="3">
        <v>205.02</v>
      </c>
    </row>
    <row r="277" spans="1:10" ht="15" thickBot="1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3">
        <v>81</v>
      </c>
      <c r="I277" s="3">
        <v>107.06</v>
      </c>
      <c r="J277" s="3">
        <v>289.92</v>
      </c>
    </row>
    <row r="278" spans="1:10" ht="15" thickBot="1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3">
        <v>286</v>
      </c>
      <c r="I278" s="3">
        <v>320.79000000000002</v>
      </c>
      <c r="J278" s="3">
        <v>43.45</v>
      </c>
    </row>
    <row r="279" spans="1:10" ht="15" thickBot="1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3">
        <v>283</v>
      </c>
      <c r="I279" s="3">
        <v>132.16</v>
      </c>
      <c r="J279" s="3">
        <v>91.72</v>
      </c>
    </row>
    <row r="280" spans="1:10" ht="15" thickBot="1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3">
        <v>487</v>
      </c>
      <c r="I280" s="3">
        <v>317.85000000000002</v>
      </c>
      <c r="J280" s="3">
        <v>281.77</v>
      </c>
    </row>
    <row r="281" spans="1:10" ht="15" thickBot="1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3">
        <v>329</v>
      </c>
      <c r="I281" s="3">
        <v>33.94</v>
      </c>
      <c r="J281" s="3">
        <v>23.02</v>
      </c>
    </row>
    <row r="282" spans="1:10" ht="15" thickBot="1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3">
        <v>347</v>
      </c>
      <c r="I282" s="3">
        <v>75.180000000000007</v>
      </c>
      <c r="J282" s="3">
        <v>195.67</v>
      </c>
    </row>
    <row r="283" spans="1:10" ht="15" thickBot="1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3">
        <v>375</v>
      </c>
      <c r="I283" s="3">
        <v>140.9</v>
      </c>
      <c r="J283" s="3">
        <v>240.55</v>
      </c>
    </row>
    <row r="284" spans="1:10" ht="15" thickBot="1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3">
        <v>104</v>
      </c>
      <c r="I284" s="3">
        <v>300.54000000000002</v>
      </c>
      <c r="J284" s="3">
        <v>241.65</v>
      </c>
    </row>
    <row r="285" spans="1:10" ht="15" thickBot="1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3">
        <v>175</v>
      </c>
      <c r="I285" s="3">
        <v>339.54</v>
      </c>
      <c r="J285" s="3">
        <v>11.13</v>
      </c>
    </row>
    <row r="286" spans="1:10" ht="15" thickBot="1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3">
        <v>41</v>
      </c>
      <c r="I286" s="3">
        <v>224.14</v>
      </c>
      <c r="J286" s="3">
        <v>130.19999999999999</v>
      </c>
    </row>
    <row r="287" spans="1:10" ht="15" thickBot="1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3">
        <v>20</v>
      </c>
      <c r="I287" s="3">
        <v>225.67</v>
      </c>
      <c r="J287" s="3">
        <v>255.32</v>
      </c>
    </row>
    <row r="288" spans="1:10" ht="15" thickBot="1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3">
        <v>310</v>
      </c>
      <c r="I288" s="3">
        <v>363.64</v>
      </c>
      <c r="J288" s="3">
        <v>61.3</v>
      </c>
    </row>
    <row r="289" spans="1:10" ht="15" thickBot="1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3">
        <v>226</v>
      </c>
      <c r="I289" s="3"/>
      <c r="J289" s="3">
        <v>278.77999999999997</v>
      </c>
    </row>
    <row r="290" spans="1:10" ht="15" thickBot="1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3">
        <v>173.84</v>
      </c>
      <c r="J290" s="3">
        <v>298.88</v>
      </c>
    </row>
    <row r="291" spans="1:10" ht="15" thickBot="1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3">
        <v>111</v>
      </c>
      <c r="I291" s="3">
        <v>410.26</v>
      </c>
      <c r="J291" s="3">
        <v>392.82</v>
      </c>
    </row>
    <row r="292" spans="1:10" ht="15" thickBot="1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3">
        <v>434</v>
      </c>
      <c r="I292" s="3">
        <v>303.58999999999997</v>
      </c>
      <c r="J292" s="3">
        <v>85.52</v>
      </c>
    </row>
    <row r="293" spans="1:10" ht="15" thickBot="1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3">
        <v>401</v>
      </c>
      <c r="I293" s="3">
        <v>171.93</v>
      </c>
      <c r="J293" s="3">
        <v>330.4</v>
      </c>
    </row>
    <row r="294" spans="1:10" ht="15" thickBot="1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3">
        <v>276</v>
      </c>
      <c r="I294" s="3">
        <v>453.23</v>
      </c>
      <c r="J294" s="3">
        <v>209.08</v>
      </c>
    </row>
    <row r="295" spans="1:10" ht="15" thickBot="1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3">
        <v>387.45</v>
      </c>
      <c r="J295" s="3">
        <v>150.63999999999999</v>
      </c>
    </row>
    <row r="296" spans="1:10" ht="15" thickBot="1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3">
        <v>188</v>
      </c>
      <c r="I296" s="3">
        <v>136.12</v>
      </c>
      <c r="J296" s="3">
        <v>50.71</v>
      </c>
    </row>
    <row r="297" spans="1:10" ht="15" thickBot="1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3">
        <v>97</v>
      </c>
      <c r="I297" s="3">
        <v>324.42</v>
      </c>
      <c r="J297" s="3">
        <v>294.73</v>
      </c>
    </row>
    <row r="298" spans="1:10" ht="15" thickBot="1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3">
        <v>50</v>
      </c>
      <c r="I298" s="3">
        <v>299.89999999999998</v>
      </c>
      <c r="J298" s="3">
        <v>95.87</v>
      </c>
    </row>
    <row r="299" spans="1:10" ht="15" thickBot="1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3">
        <v>410</v>
      </c>
      <c r="I299" s="3">
        <v>203.59</v>
      </c>
      <c r="J299" s="3">
        <v>149.83000000000001</v>
      </c>
    </row>
    <row r="300" spans="1:10" ht="15" thickBot="1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3">
        <v>85</v>
      </c>
      <c r="I300" s="3">
        <v>186.64</v>
      </c>
      <c r="J300" s="3">
        <v>26.89</v>
      </c>
    </row>
    <row r="301" spans="1:10" ht="15" thickBot="1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3">
        <v>386</v>
      </c>
      <c r="I301" s="3">
        <v>175.06</v>
      </c>
      <c r="J301" s="3">
        <v>320.94</v>
      </c>
    </row>
    <row r="302" spans="1:10" ht="15" thickBot="1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3">
        <v>55</v>
      </c>
      <c r="I302" s="3">
        <v>310.49</v>
      </c>
      <c r="J302" s="3">
        <v>307.10000000000002</v>
      </c>
    </row>
    <row r="303" spans="1:10" ht="15" thickBot="1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3">
        <v>169</v>
      </c>
      <c r="I303" s="3">
        <v>223.99</v>
      </c>
      <c r="J303" s="3">
        <v>293.98</v>
      </c>
    </row>
    <row r="304" spans="1:10" ht="15" thickBot="1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3">
        <v>472</v>
      </c>
      <c r="I304" s="3">
        <v>416.77</v>
      </c>
      <c r="J304" s="3">
        <v>121.18</v>
      </c>
    </row>
    <row r="305" spans="1:10" ht="15" thickBot="1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3">
        <v>89</v>
      </c>
      <c r="I305" s="3">
        <v>336.45</v>
      </c>
      <c r="J305" s="3">
        <v>71.05</v>
      </c>
    </row>
    <row r="306" spans="1:10" ht="15" thickBot="1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3">
        <v>319</v>
      </c>
      <c r="I306" s="3">
        <v>39.619999999999997</v>
      </c>
      <c r="J306" s="3">
        <v>255.75</v>
      </c>
    </row>
    <row r="307" spans="1:10" ht="15" thickBot="1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3">
        <v>95</v>
      </c>
      <c r="I307" s="3">
        <v>321.88</v>
      </c>
      <c r="J307" s="3">
        <v>199.47</v>
      </c>
    </row>
    <row r="308" spans="1:10" ht="15" thickBot="1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3">
        <v>101</v>
      </c>
      <c r="I308" s="3">
        <v>139.22</v>
      </c>
      <c r="J308" s="3">
        <v>72.94</v>
      </c>
    </row>
    <row r="309" spans="1:10" ht="15" thickBot="1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3">
        <v>157</v>
      </c>
      <c r="I309" s="3"/>
      <c r="J309" s="3">
        <v>274.99</v>
      </c>
    </row>
    <row r="310" spans="1:10" ht="15" thickBot="1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3">
        <v>170</v>
      </c>
      <c r="I310" s="3">
        <v>341.67</v>
      </c>
      <c r="J310" s="3">
        <v>396.47</v>
      </c>
    </row>
    <row r="311" spans="1:10" ht="15" thickBot="1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3">
        <v>211</v>
      </c>
      <c r="I311" s="3">
        <v>119.26</v>
      </c>
      <c r="J311" s="3">
        <v>299.39</v>
      </c>
    </row>
    <row r="312" spans="1:10" ht="15" thickBot="1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3">
        <v>433</v>
      </c>
      <c r="I312" s="3">
        <v>231.15</v>
      </c>
      <c r="J312" s="3">
        <v>296.51</v>
      </c>
    </row>
    <row r="313" spans="1:10" ht="15" thickBot="1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3">
        <v>425</v>
      </c>
      <c r="I313" s="3">
        <v>99.21</v>
      </c>
      <c r="J313" s="3">
        <v>380.22</v>
      </c>
    </row>
    <row r="314" spans="1:10" ht="15" thickBot="1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3">
        <v>251</v>
      </c>
      <c r="I314" s="3">
        <v>30.91</v>
      </c>
      <c r="J314" s="3">
        <v>82.77</v>
      </c>
    </row>
    <row r="315" spans="1:10" ht="15" thickBot="1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3">
        <v>192.35</v>
      </c>
      <c r="J315" s="3">
        <v>227.09</v>
      </c>
    </row>
    <row r="316" spans="1:10" ht="15" thickBot="1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3">
        <v>11</v>
      </c>
      <c r="I316" s="3">
        <v>184.66</v>
      </c>
      <c r="J316" s="3">
        <v>391.9</v>
      </c>
    </row>
    <row r="317" spans="1:10" ht="15" thickBot="1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3">
        <v>234</v>
      </c>
      <c r="I317" s="3">
        <v>497.76</v>
      </c>
      <c r="J317" s="3">
        <v>67.790000000000006</v>
      </c>
    </row>
    <row r="318" spans="1:10" ht="15" thickBot="1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3">
        <v>225.94</v>
      </c>
      <c r="J318" s="3">
        <v>280.7</v>
      </c>
    </row>
    <row r="319" spans="1:10" ht="15" thickBot="1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3">
        <v>242</v>
      </c>
      <c r="I319" s="3">
        <v>170.12</v>
      </c>
      <c r="J319" s="3">
        <v>235.15</v>
      </c>
    </row>
    <row r="320" spans="1:10" ht="15" thickBot="1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3">
        <v>470</v>
      </c>
      <c r="I320" s="3">
        <v>292.33999999999997</v>
      </c>
      <c r="J320" s="3">
        <v>235.42</v>
      </c>
    </row>
    <row r="321" spans="1:10" ht="15" thickBot="1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3">
        <v>423</v>
      </c>
      <c r="I321" s="3">
        <v>48.94</v>
      </c>
      <c r="J321" s="3">
        <v>279.67</v>
      </c>
    </row>
    <row r="322" spans="1:10" ht="15" thickBot="1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3">
        <v>426</v>
      </c>
      <c r="I322" s="3">
        <v>481.02</v>
      </c>
      <c r="J322" s="3">
        <v>371.99</v>
      </c>
    </row>
    <row r="323" spans="1:10" ht="15" thickBot="1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3">
        <v>86</v>
      </c>
      <c r="I323" s="3">
        <v>319.31</v>
      </c>
      <c r="J323" s="3">
        <v>313.47000000000003</v>
      </c>
    </row>
    <row r="324" spans="1:10" ht="15" thickBot="1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3">
        <v>125</v>
      </c>
      <c r="I324" s="3">
        <v>378.64</v>
      </c>
      <c r="J324" s="3">
        <v>24.34</v>
      </c>
    </row>
    <row r="325" spans="1:10" ht="15" thickBot="1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3">
        <v>163</v>
      </c>
      <c r="I325" s="3">
        <v>89.39</v>
      </c>
      <c r="J325" s="3">
        <v>341.39</v>
      </c>
    </row>
    <row r="326" spans="1:10" ht="15" thickBot="1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3">
        <v>415</v>
      </c>
      <c r="I326" s="3">
        <v>207.69</v>
      </c>
      <c r="J326" s="3">
        <v>91.77</v>
      </c>
    </row>
    <row r="327" spans="1:10" ht="15" thickBot="1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3">
        <v>112</v>
      </c>
      <c r="I327" s="3">
        <v>214.23</v>
      </c>
      <c r="J327" s="3">
        <v>152.01</v>
      </c>
    </row>
    <row r="328" spans="1:10" ht="15" thickBot="1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3">
        <v>203</v>
      </c>
      <c r="I328" s="3">
        <v>411.79</v>
      </c>
      <c r="J328" s="3">
        <v>185.77</v>
      </c>
    </row>
    <row r="329" spans="1:10" ht="15" thickBot="1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3">
        <v>5.61</v>
      </c>
      <c r="J329" s="3">
        <v>193.4</v>
      </c>
    </row>
    <row r="330" spans="1:10" ht="15" thickBot="1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3">
        <v>368</v>
      </c>
      <c r="I330" s="3">
        <v>153.91999999999999</v>
      </c>
      <c r="J330" s="3">
        <v>175.2</v>
      </c>
    </row>
    <row r="331" spans="1:10" ht="15" thickBot="1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3">
        <v>99</v>
      </c>
      <c r="I331" s="3">
        <v>490.71</v>
      </c>
      <c r="J331" s="3">
        <v>375.07</v>
      </c>
    </row>
    <row r="332" spans="1:10" ht="15" thickBot="1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3">
        <v>183</v>
      </c>
      <c r="I332" s="3">
        <v>240.07</v>
      </c>
      <c r="J332" s="3">
        <v>283</v>
      </c>
    </row>
    <row r="333" spans="1:10" ht="15" thickBot="1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3">
        <v>131</v>
      </c>
      <c r="I333" s="3">
        <v>194.35</v>
      </c>
      <c r="J333" s="3">
        <v>253.21</v>
      </c>
    </row>
    <row r="334" spans="1:10" ht="15" thickBot="1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3">
        <v>152</v>
      </c>
      <c r="I334" s="3">
        <v>64.319999999999993</v>
      </c>
      <c r="J334" s="3">
        <v>21.84</v>
      </c>
    </row>
    <row r="335" spans="1:10" ht="15" thickBot="1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3">
        <v>491</v>
      </c>
      <c r="I335" s="3">
        <v>487.21</v>
      </c>
      <c r="J335" s="3">
        <v>361.76</v>
      </c>
    </row>
    <row r="336" spans="1:10" ht="15" thickBot="1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3">
        <v>115</v>
      </c>
      <c r="I336" s="3">
        <v>14.91</v>
      </c>
      <c r="J336" s="3">
        <v>363.94</v>
      </c>
    </row>
    <row r="337" spans="1:10" ht="15" thickBot="1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3">
        <v>384</v>
      </c>
      <c r="I337" s="3">
        <v>369.9</v>
      </c>
      <c r="J337" s="3">
        <v>312.52</v>
      </c>
    </row>
    <row r="338" spans="1:10" ht="15" thickBot="1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3">
        <v>437</v>
      </c>
      <c r="I338" s="3">
        <v>385.46</v>
      </c>
      <c r="J338" s="3">
        <v>4.8</v>
      </c>
    </row>
    <row r="339" spans="1:10" ht="15" thickBot="1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3">
        <v>314</v>
      </c>
      <c r="I339" s="3">
        <v>125.61</v>
      </c>
      <c r="J339" s="3">
        <v>24.8</v>
      </c>
    </row>
    <row r="340" spans="1:10" ht="15" thickBot="1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3">
        <v>369</v>
      </c>
      <c r="I340" s="3">
        <v>337.42</v>
      </c>
      <c r="J340" s="3">
        <v>91.64</v>
      </c>
    </row>
    <row r="341" spans="1:10" ht="15" thickBot="1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3">
        <v>468</v>
      </c>
      <c r="I341" s="3">
        <v>51</v>
      </c>
      <c r="J341" s="3">
        <v>54.28</v>
      </c>
    </row>
    <row r="342" spans="1:10" ht="15" thickBot="1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3">
        <v>326</v>
      </c>
      <c r="I342" s="3">
        <v>132.24</v>
      </c>
      <c r="J342" s="3">
        <v>160.74</v>
      </c>
    </row>
    <row r="343" spans="1:10" ht="15" thickBot="1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3">
        <v>460</v>
      </c>
      <c r="I343" s="3">
        <v>395.01</v>
      </c>
      <c r="J343" s="3">
        <v>369.2</v>
      </c>
    </row>
    <row r="344" spans="1:10" ht="15" thickBot="1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3">
        <v>132</v>
      </c>
      <c r="I344" s="3">
        <v>433.02</v>
      </c>
      <c r="J344" s="3">
        <v>189.88</v>
      </c>
    </row>
    <row r="345" spans="1:10" ht="15" thickBot="1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3">
        <v>399</v>
      </c>
      <c r="I345" s="3">
        <v>306.2</v>
      </c>
      <c r="J345" s="3">
        <v>7.33</v>
      </c>
    </row>
    <row r="346" spans="1:10" ht="15" thickBot="1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3">
        <v>18</v>
      </c>
      <c r="I346" s="3">
        <v>255.89</v>
      </c>
      <c r="J346" s="3">
        <v>114.53</v>
      </c>
    </row>
    <row r="347" spans="1:10" ht="15" thickBot="1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3">
        <v>271</v>
      </c>
      <c r="I347" s="3">
        <v>83.86</v>
      </c>
      <c r="J347" s="3">
        <v>19.75</v>
      </c>
    </row>
    <row r="348" spans="1:10" ht="15" thickBot="1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3">
        <v>82</v>
      </c>
      <c r="I348" s="3">
        <v>36.24</v>
      </c>
      <c r="J348" s="3">
        <v>16.440000000000001</v>
      </c>
    </row>
    <row r="349" spans="1:10" ht="15" thickBot="1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3">
        <v>368</v>
      </c>
      <c r="I349" s="3">
        <v>63.24</v>
      </c>
      <c r="J349" s="3">
        <v>111.74</v>
      </c>
    </row>
    <row r="350" spans="1:10" ht="15" thickBot="1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3">
        <v>232</v>
      </c>
      <c r="I350" s="3">
        <v>117.54</v>
      </c>
      <c r="J350" s="3">
        <v>111.69</v>
      </c>
    </row>
    <row r="351" spans="1:10">
      <c r="A351" s="5" t="s">
        <v>378</v>
      </c>
      <c r="B351" s="5" t="s">
        <v>11</v>
      </c>
      <c r="C351" s="5" t="s">
        <v>31</v>
      </c>
      <c r="D351" s="5" t="s">
        <v>23</v>
      </c>
      <c r="E351" s="5" t="s">
        <v>24</v>
      </c>
      <c r="F351" s="5" t="s">
        <v>15</v>
      </c>
      <c r="G351" s="6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6677-66B2-453A-9C37-3343805391AD}">
  <dimension ref="A1:J368"/>
  <sheetViews>
    <sheetView topLeftCell="A344" workbookViewId="0">
      <selection activeCell="E364" sqref="E364"/>
    </sheetView>
  </sheetViews>
  <sheetFormatPr defaultRowHeight="14.4"/>
  <cols>
    <col min="1" max="1" width="12.44140625" bestFit="1" customWidth="1"/>
    <col min="2" max="2" width="20.21875" bestFit="1" customWidth="1"/>
    <col min="3" max="3" width="12.21875" bestFit="1" customWidth="1"/>
    <col min="4" max="4" width="13" bestFit="1" customWidth="1"/>
    <col min="5" max="5" width="12.33203125" bestFit="1" customWidth="1"/>
    <col min="6" max="6" width="11.5546875" bestFit="1" customWidth="1"/>
    <col min="7" max="7" width="15.44140625" bestFit="1" customWidth="1"/>
    <col min="8" max="8" width="9.77734375" bestFit="1" customWidth="1"/>
    <col min="9" max="9" width="9.5546875" bestFit="1" customWidth="1"/>
    <col min="10" max="10" width="13.109375" bestFit="1" customWidth="1"/>
  </cols>
  <sheetData>
    <row r="1" spans="1:10">
      <c r="A1" s="7" t="s">
        <v>379</v>
      </c>
      <c r="B1" s="7"/>
      <c r="C1" s="7"/>
      <c r="D1" s="7"/>
      <c r="E1" s="7"/>
    </row>
    <row r="2" spans="1:10">
      <c r="A2" s="7" t="s">
        <v>380</v>
      </c>
      <c r="B2" s="7"/>
      <c r="C2" s="7"/>
      <c r="D2" s="7"/>
      <c r="E2" s="7"/>
    </row>
    <row r="3" spans="1:10">
      <c r="A3" s="7"/>
      <c r="B3" s="7"/>
      <c r="C3" s="7"/>
      <c r="D3" s="7"/>
      <c r="E3" s="7"/>
    </row>
    <row r="4" spans="1:10" ht="29.4" thickBo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15" thickBo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</row>
    <row r="6" spans="1:10" ht="15" thickBot="1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</row>
    <row r="7" spans="1:10" ht="15" thickBot="1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</row>
    <row r="8" spans="1:10" ht="15" thickBot="1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</row>
    <row r="9" spans="1:10" ht="15" thickBot="1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</row>
    <row r="10" spans="1:10" ht="15" thickBot="1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</row>
    <row r="11" spans="1:10" ht="15" thickBot="1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</row>
    <row r="12" spans="1:10" ht="15" thickBot="1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</row>
    <row r="13" spans="1:10" ht="15" thickBot="1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</row>
    <row r="14" spans="1:10" ht="15" thickBot="1">
      <c r="A14" s="3" t="s">
        <v>35</v>
      </c>
      <c r="B14" s="8"/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</row>
    <row r="15" spans="1:10" ht="15" thickBot="1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</row>
    <row r="16" spans="1:10" ht="15" thickBot="1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</row>
    <row r="17" spans="1:10" ht="15" thickBot="1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</row>
    <row r="18" spans="1:10" ht="15" thickBot="1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</row>
    <row r="19" spans="1:10" ht="15" thickBot="1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</row>
    <row r="20" spans="1:10" ht="15" thickBot="1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</row>
    <row r="21" spans="1:10" ht="15" thickBot="1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</row>
    <row r="22" spans="1:10" ht="15" thickBot="1">
      <c r="A22" s="3" t="s">
        <v>44</v>
      </c>
      <c r="B22" s="8"/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</row>
    <row r="23" spans="1:10" ht="15" thickBot="1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</row>
    <row r="24" spans="1:10" ht="15" thickBot="1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</row>
    <row r="25" spans="1:10" ht="15" thickBot="1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</row>
    <row r="26" spans="1:10" ht="15" thickBot="1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</row>
    <row r="27" spans="1:10" ht="15" thickBot="1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</row>
    <row r="28" spans="1:10" ht="15" thickBot="1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</row>
    <row r="29" spans="1:10" ht="15" thickBot="1">
      <c r="A29" s="3" t="s">
        <v>53</v>
      </c>
      <c r="B29" s="3" t="s">
        <v>17</v>
      </c>
      <c r="C29" s="3" t="s">
        <v>18</v>
      </c>
      <c r="D29" s="8"/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</row>
    <row r="30" spans="1:10" ht="15" thickBot="1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</row>
    <row r="31" spans="1:10" ht="15" thickBot="1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</row>
    <row r="32" spans="1:10" ht="15" thickBot="1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3"/>
      <c r="J32" s="3">
        <v>383.01</v>
      </c>
    </row>
    <row r="33" spans="1:10" ht="15" thickBot="1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</row>
    <row r="34" spans="1:10" ht="15" thickBot="1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</row>
    <row r="35" spans="1:10" ht="15" thickBot="1">
      <c r="A35" s="3" t="s">
        <v>59</v>
      </c>
      <c r="B35" s="8"/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</row>
    <row r="36" spans="1:10" ht="15" thickBot="1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</row>
    <row r="37" spans="1:10" ht="15" thickBot="1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</row>
    <row r="38" spans="1:10" ht="15" thickBot="1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</row>
    <row r="39" spans="1:10" ht="15" thickBot="1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</row>
    <row r="40" spans="1:10" ht="15" thickBot="1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</row>
    <row r="41" spans="1:10" ht="15" thickBot="1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3"/>
      <c r="J41" s="3">
        <v>332.07</v>
      </c>
    </row>
    <row r="42" spans="1:10" ht="15" thickBot="1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</row>
    <row r="43" spans="1:10" ht="15" thickBot="1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8"/>
      <c r="I43" s="3">
        <v>91.23</v>
      </c>
      <c r="J43" s="3">
        <v>381.21</v>
      </c>
    </row>
    <row r="44" spans="1:10" ht="15" thickBot="1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</row>
    <row r="45" spans="1:10" ht="15" thickBot="1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</row>
    <row r="46" spans="1:10" ht="15" thickBot="1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</row>
    <row r="47" spans="1:10" ht="15" thickBot="1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</row>
    <row r="48" spans="1:10" ht="15" thickBot="1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</row>
    <row r="49" spans="1:10" ht="15" thickBot="1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3"/>
      <c r="J49" s="3">
        <v>94.56</v>
      </c>
    </row>
    <row r="50" spans="1:10" ht="15" thickBot="1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</row>
    <row r="51" spans="1:10" ht="15" thickBot="1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</row>
    <row r="52" spans="1:10" ht="15" thickBot="1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</row>
    <row r="53" spans="1:10" ht="15" thickBot="1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</row>
    <row r="54" spans="1:10" ht="15" thickBot="1">
      <c r="A54" s="3" t="s">
        <v>78</v>
      </c>
      <c r="B54" s="8"/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</row>
    <row r="55" spans="1:10" ht="15" thickBot="1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</row>
    <row r="56" spans="1:10" ht="15" thickBot="1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</row>
    <row r="57" spans="1:10" ht="15" thickBot="1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</row>
    <row r="58" spans="1:10" ht="15" thickBot="1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</row>
    <row r="59" spans="1:10" ht="15" thickBot="1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</row>
    <row r="60" spans="1:10" ht="15" thickBot="1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</row>
    <row r="61" spans="1:10" ht="15" thickBot="1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</row>
    <row r="62" spans="1:10" ht="15" thickBot="1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</row>
    <row r="63" spans="1:10" ht="15" thickBot="1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</row>
    <row r="64" spans="1:10" ht="15" thickBot="1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</row>
    <row r="65" spans="1:10" ht="15" thickBot="1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</row>
    <row r="66" spans="1:10" ht="15" thickBot="1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</row>
    <row r="67" spans="1:10" ht="15" thickBot="1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</row>
    <row r="68" spans="1:10" ht="15" thickBot="1">
      <c r="A68" s="3" t="s">
        <v>92</v>
      </c>
      <c r="B68" s="8"/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</row>
    <row r="69" spans="1:10" ht="15" thickBot="1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</row>
    <row r="70" spans="1:10" ht="15" thickBot="1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</row>
    <row r="71" spans="1:10" ht="15" thickBot="1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</row>
    <row r="72" spans="1:10" ht="15" thickBot="1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</row>
    <row r="73" spans="1:10" ht="15" thickBot="1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</row>
    <row r="74" spans="1:10" ht="15" thickBot="1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</row>
    <row r="75" spans="1:10" ht="15" thickBot="1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</row>
    <row r="76" spans="1:10" ht="15" thickBot="1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</row>
    <row r="77" spans="1:10" ht="15" thickBot="1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</row>
    <row r="78" spans="1:10" ht="15" thickBot="1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</row>
    <row r="79" spans="1:10" ht="15" thickBot="1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</row>
    <row r="80" spans="1:10" ht="15" thickBot="1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</row>
    <row r="81" spans="1:10" ht="15" thickBot="1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</row>
    <row r="82" spans="1:10" ht="15" thickBot="1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</row>
    <row r="83" spans="1:10" ht="15" thickBot="1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</row>
    <row r="84" spans="1:10" ht="15" thickBot="1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3"/>
      <c r="J84" s="3">
        <v>339.51</v>
      </c>
    </row>
    <row r="85" spans="1:10" ht="15" thickBot="1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</row>
    <row r="86" spans="1:10" ht="15" thickBot="1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</row>
    <row r="87" spans="1:10" ht="15" thickBot="1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</row>
    <row r="88" spans="1:10" ht="15" thickBot="1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</row>
    <row r="89" spans="1:10" ht="15" thickBot="1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</row>
    <row r="90" spans="1:10" ht="15" thickBot="1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</row>
    <row r="91" spans="1:10" ht="15" thickBot="1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</row>
    <row r="92" spans="1:10" ht="15" thickBot="1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</row>
    <row r="93" spans="1:10" ht="15" thickBot="1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</row>
    <row r="94" spans="1:10" ht="15" thickBot="1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</row>
    <row r="95" spans="1:10" ht="15" thickBot="1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</row>
    <row r="96" spans="1:10" ht="15" thickBot="1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3"/>
      <c r="J96" s="3">
        <v>55.25</v>
      </c>
    </row>
    <row r="97" spans="1:10" ht="15" thickBot="1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</row>
    <row r="98" spans="1:10" ht="15" thickBot="1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</row>
    <row r="99" spans="1:10" ht="15" thickBot="1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</row>
    <row r="100" spans="1:10" ht="15" thickBot="1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</row>
    <row r="101" spans="1:10" ht="15" thickBot="1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</row>
    <row r="102" spans="1:10" ht="15" thickBot="1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</row>
    <row r="103" spans="1:10" ht="15" thickBot="1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</row>
    <row r="104" spans="1:10" ht="15" thickBot="1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</row>
    <row r="105" spans="1:10" ht="15" thickBot="1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</row>
    <row r="106" spans="1:10" ht="15" thickBot="1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</row>
    <row r="107" spans="1:10" ht="15" thickBot="1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</row>
    <row r="108" spans="1:10" ht="15" thickBot="1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</row>
    <row r="109" spans="1:10" ht="15" thickBot="1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</row>
    <row r="110" spans="1:10" ht="15" thickBot="1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</row>
    <row r="111" spans="1:10" ht="15" thickBot="1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</row>
    <row r="112" spans="1:10" ht="15" thickBot="1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</row>
    <row r="113" spans="1:10" ht="15" thickBot="1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</row>
    <row r="114" spans="1:10" ht="15" thickBot="1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</row>
    <row r="115" spans="1:10" ht="15" thickBot="1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</row>
    <row r="116" spans="1:10" ht="15" thickBot="1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</row>
    <row r="117" spans="1:10" ht="15" thickBot="1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</row>
    <row r="118" spans="1:10" ht="15" thickBot="1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</row>
    <row r="119" spans="1:10" ht="15" thickBot="1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</row>
    <row r="120" spans="1:10" ht="15" thickBot="1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</row>
    <row r="121" spans="1:10" ht="15" thickBot="1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</row>
    <row r="122" spans="1:10" ht="15" thickBot="1">
      <c r="A122" s="3" t="s">
        <v>146</v>
      </c>
      <c r="B122" s="8"/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</row>
    <row r="123" spans="1:10" ht="15" thickBot="1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</row>
    <row r="124" spans="1:10" ht="15" thickBot="1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</row>
    <row r="125" spans="1:10" ht="15" thickBot="1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</row>
    <row r="126" spans="1:10" ht="15" thickBot="1">
      <c r="A126" s="3" t="s">
        <v>150</v>
      </c>
      <c r="B126" s="8"/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</row>
    <row r="127" spans="1:10" ht="15" thickBot="1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</row>
    <row r="128" spans="1:10" ht="15" thickBot="1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</row>
    <row r="129" spans="1:10" ht="15" thickBot="1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</row>
    <row r="130" spans="1:10" ht="15" thickBot="1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</row>
    <row r="131" spans="1:10" ht="15" thickBot="1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</row>
    <row r="132" spans="1:10" ht="15" thickBot="1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</row>
    <row r="133" spans="1:10" ht="15" thickBot="1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</row>
    <row r="134" spans="1:10" ht="15" thickBot="1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</row>
    <row r="135" spans="1:10" ht="15" thickBot="1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8"/>
      <c r="I135" s="3">
        <v>268.45999999999998</v>
      </c>
      <c r="J135" s="3">
        <v>199.19</v>
      </c>
    </row>
    <row r="136" spans="1:10" ht="15" thickBot="1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</row>
    <row r="137" spans="1:10" ht="15" thickBot="1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</row>
    <row r="138" spans="1:10" ht="15" thickBot="1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</row>
    <row r="139" spans="1:10" ht="15" thickBot="1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</row>
    <row r="140" spans="1:10" ht="15" thickBot="1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</row>
    <row r="141" spans="1:10" ht="15" thickBot="1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</row>
    <row r="142" spans="1:10" ht="15" thickBot="1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</row>
    <row r="143" spans="1:10" ht="15" thickBot="1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</row>
    <row r="144" spans="1:10" ht="15" thickBot="1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</row>
    <row r="145" spans="1:10" ht="15" thickBot="1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</row>
    <row r="146" spans="1:10" ht="15" thickBot="1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</row>
    <row r="147" spans="1:10" ht="15" thickBot="1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</row>
    <row r="148" spans="1:10" ht="15" thickBot="1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</row>
    <row r="149" spans="1:10" ht="15" thickBot="1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</row>
    <row r="150" spans="1:10" ht="15" thickBot="1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</row>
    <row r="151" spans="1:10" ht="15" thickBot="1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</row>
    <row r="152" spans="1:10" ht="15" thickBot="1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</row>
    <row r="153" spans="1:10" ht="15" thickBot="1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</row>
    <row r="154" spans="1:10" ht="15" thickBot="1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</row>
    <row r="155" spans="1:10" ht="15" thickBot="1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</row>
    <row r="156" spans="1:10" ht="15" thickBot="1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</row>
    <row r="157" spans="1:10" ht="15" thickBot="1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</row>
    <row r="158" spans="1:10" ht="15" thickBot="1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</row>
    <row r="159" spans="1:10" ht="15" thickBot="1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</row>
    <row r="160" spans="1:10" ht="15" thickBot="1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</row>
    <row r="161" spans="1:10" ht="15" thickBot="1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3"/>
      <c r="J161" s="3">
        <v>220.75</v>
      </c>
    </row>
    <row r="162" spans="1:10" ht="15" thickBot="1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</row>
    <row r="163" spans="1:10" ht="15" thickBot="1">
      <c r="A163" s="3" t="s">
        <v>187</v>
      </c>
      <c r="B163" s="3" t="s">
        <v>22</v>
      </c>
      <c r="C163" s="3" t="s">
        <v>31</v>
      </c>
      <c r="D163" s="8"/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</row>
    <row r="164" spans="1:10" ht="15" thickBot="1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</row>
    <row r="165" spans="1:10" ht="15" thickBot="1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</row>
    <row r="166" spans="1:10" ht="15" thickBot="1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</row>
    <row r="167" spans="1:10" ht="15" thickBot="1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</row>
    <row r="168" spans="1:10" ht="15" thickBot="1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</row>
    <row r="169" spans="1:10" ht="15" thickBot="1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</row>
    <row r="170" spans="1:10" ht="15" thickBot="1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</row>
    <row r="171" spans="1:10" ht="15" thickBot="1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</row>
    <row r="172" spans="1:10" ht="15" thickBot="1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</row>
    <row r="173" spans="1:10" ht="15" thickBot="1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</row>
    <row r="174" spans="1:10" ht="15" thickBot="1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</row>
    <row r="175" spans="1:10" ht="15" thickBot="1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</row>
    <row r="176" spans="1:10" ht="15" thickBot="1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</row>
    <row r="177" spans="1:10" ht="15" thickBot="1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</row>
    <row r="178" spans="1:10" ht="15" thickBot="1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</row>
    <row r="179" spans="1:10" ht="15" thickBot="1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</row>
    <row r="180" spans="1:10" ht="15" thickBot="1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</row>
    <row r="181" spans="1:10" ht="15" thickBot="1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</row>
    <row r="182" spans="1:10" ht="15" thickBot="1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</row>
    <row r="183" spans="1:10" ht="15" thickBot="1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</row>
    <row r="184" spans="1:10" ht="15" thickBot="1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</row>
    <row r="185" spans="1:10" ht="15" thickBot="1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</row>
    <row r="186" spans="1:10" ht="15" thickBot="1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</row>
    <row r="187" spans="1:10" ht="15" thickBot="1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</row>
    <row r="188" spans="1:10" ht="15" thickBot="1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</row>
    <row r="189" spans="1:10" ht="15" thickBot="1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</row>
    <row r="190" spans="1:10" ht="15" thickBot="1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</row>
    <row r="191" spans="1:10" ht="15" thickBot="1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</row>
    <row r="192" spans="1:10" ht="15" thickBot="1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</row>
    <row r="193" spans="1:10" ht="15" thickBot="1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</row>
    <row r="194" spans="1:10" ht="15" thickBot="1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</row>
    <row r="195" spans="1:10" ht="15" thickBot="1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</row>
    <row r="196" spans="1:10" ht="15" thickBot="1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</row>
    <row r="197" spans="1:10" ht="15" thickBot="1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</row>
    <row r="198" spans="1:10" ht="15" thickBot="1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</row>
    <row r="199" spans="1:10" ht="15" thickBot="1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</row>
    <row r="200" spans="1:10" ht="15" thickBot="1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</row>
    <row r="201" spans="1:10" ht="15" thickBot="1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</row>
    <row r="202" spans="1:10" ht="15" thickBot="1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</row>
    <row r="203" spans="1:10" ht="15" thickBot="1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</row>
    <row r="204" spans="1:10" ht="15" thickBot="1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8"/>
      <c r="I204" s="3">
        <v>407.81</v>
      </c>
      <c r="J204" s="3">
        <v>351.95</v>
      </c>
    </row>
    <row r="205" spans="1:10" ht="15" thickBot="1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</row>
    <row r="206" spans="1:10" ht="15" thickBot="1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</row>
    <row r="207" spans="1:10" ht="15" thickBot="1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</row>
    <row r="208" spans="1:10" ht="15" thickBot="1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</row>
    <row r="209" spans="1:10" ht="15" thickBot="1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</row>
    <row r="210" spans="1:10" ht="15" thickBot="1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</row>
    <row r="211" spans="1:10" ht="15" thickBot="1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</row>
    <row r="212" spans="1:10" ht="15" thickBot="1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</row>
    <row r="213" spans="1:10" ht="15" thickBot="1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</row>
    <row r="214" spans="1:10" ht="15" thickBot="1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</row>
    <row r="215" spans="1:10" ht="15" thickBot="1">
      <c r="A215" s="3" t="s">
        <v>239</v>
      </c>
      <c r="B215" s="3" t="s">
        <v>11</v>
      </c>
      <c r="C215" s="3" t="s">
        <v>50</v>
      </c>
      <c r="D215" s="8"/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</row>
    <row r="216" spans="1:10" ht="15" thickBot="1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</row>
    <row r="217" spans="1:10" ht="15" thickBot="1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</row>
    <row r="218" spans="1:10" ht="15" thickBot="1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</row>
    <row r="219" spans="1:10" ht="15" thickBot="1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</row>
    <row r="220" spans="1:10" ht="15" thickBot="1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</row>
    <row r="221" spans="1:10" ht="15" thickBot="1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</row>
    <row r="222" spans="1:10" ht="15" thickBot="1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</row>
    <row r="223" spans="1:10" ht="15" thickBot="1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</row>
    <row r="224" spans="1:10" ht="15" thickBot="1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</row>
    <row r="225" spans="1:10" ht="15" thickBot="1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</row>
    <row r="226" spans="1:10" ht="15" thickBot="1">
      <c r="A226" s="3" t="s">
        <v>250</v>
      </c>
      <c r="B226" s="8"/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</row>
    <row r="227" spans="1:10" ht="15" thickBot="1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</row>
    <row r="228" spans="1:10" ht="15" thickBot="1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</row>
    <row r="229" spans="1:10" ht="15" thickBot="1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</row>
    <row r="230" spans="1:10" ht="15" thickBot="1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</row>
    <row r="231" spans="1:10" ht="15" thickBot="1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</row>
    <row r="232" spans="1:10" ht="15" thickBot="1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8"/>
      <c r="I232" s="3">
        <v>49.37</v>
      </c>
      <c r="J232" s="3">
        <v>39.32</v>
      </c>
    </row>
    <row r="233" spans="1:10" ht="15" thickBot="1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</row>
    <row r="234" spans="1:10" ht="15" thickBot="1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</row>
    <row r="235" spans="1:10" ht="15" thickBot="1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</row>
    <row r="236" spans="1:10" ht="15" thickBot="1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</row>
    <row r="237" spans="1:10" ht="15" thickBot="1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</row>
    <row r="238" spans="1:10" ht="15" thickBot="1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</row>
    <row r="239" spans="1:10" ht="15" thickBot="1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</row>
    <row r="240" spans="1:10" ht="15" thickBot="1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</row>
    <row r="241" spans="1:10" ht="15" thickBot="1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</row>
    <row r="242" spans="1:10" ht="15" thickBot="1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</row>
    <row r="243" spans="1:10" ht="15" thickBot="1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</row>
    <row r="244" spans="1:10" ht="15" thickBot="1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</row>
    <row r="245" spans="1:10" ht="15" thickBot="1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</row>
    <row r="246" spans="1:10" ht="15" thickBot="1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</row>
    <row r="247" spans="1:10" ht="15" thickBot="1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</row>
    <row r="248" spans="1:10" ht="15" thickBot="1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</row>
    <row r="249" spans="1:10" ht="15" thickBot="1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</row>
    <row r="250" spans="1:10" ht="15" thickBot="1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</row>
    <row r="251" spans="1:10" ht="15" thickBot="1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</row>
    <row r="252" spans="1:10" ht="15" thickBot="1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</row>
    <row r="253" spans="1:10" ht="15" thickBot="1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</row>
    <row r="254" spans="1:10" ht="15" thickBot="1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</row>
    <row r="255" spans="1:10" ht="15" thickBot="1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8"/>
      <c r="I255" s="3">
        <v>298.8</v>
      </c>
      <c r="J255" s="3">
        <v>333.41</v>
      </c>
    </row>
    <row r="256" spans="1:10" ht="15" thickBot="1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</row>
    <row r="257" spans="1:10" ht="15" thickBot="1">
      <c r="A257" s="3" t="s">
        <v>281</v>
      </c>
      <c r="B257" s="3" t="s">
        <v>17</v>
      </c>
      <c r="C257" s="3" t="s">
        <v>12</v>
      </c>
      <c r="D257" s="8"/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</row>
    <row r="258" spans="1:10" ht="15" thickBot="1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</row>
    <row r="259" spans="1:10" ht="15" thickBot="1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</row>
    <row r="260" spans="1:10" ht="15" thickBot="1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</row>
    <row r="261" spans="1:10" ht="15" thickBot="1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3"/>
      <c r="J261" s="3">
        <v>337.1</v>
      </c>
    </row>
    <row r="262" spans="1:10" ht="15" thickBot="1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</row>
    <row r="263" spans="1:10" ht="15" thickBot="1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</row>
    <row r="264" spans="1:10" ht="15" thickBot="1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</row>
    <row r="265" spans="1:10" ht="15" thickBot="1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3"/>
      <c r="J265" s="3">
        <v>155.38</v>
      </c>
    </row>
    <row r="266" spans="1:10" ht="15" thickBot="1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</row>
    <row r="267" spans="1:10" ht="15" thickBot="1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</row>
    <row r="268" spans="1:10" ht="15" thickBot="1">
      <c r="A268" s="3" t="s">
        <v>292</v>
      </c>
      <c r="B268" s="3" t="s">
        <v>22</v>
      </c>
      <c r="C268" s="3" t="s">
        <v>18</v>
      </c>
      <c r="D268" s="8"/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</row>
    <row r="269" spans="1:10" ht="15" thickBot="1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</row>
    <row r="270" spans="1:10" ht="15" thickBot="1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</row>
    <row r="271" spans="1:10" ht="15" thickBot="1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</row>
    <row r="272" spans="1:10" ht="15" thickBot="1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</row>
    <row r="273" spans="1:10" ht="15" thickBot="1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</row>
    <row r="274" spans="1:10" ht="15" thickBot="1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</row>
    <row r="275" spans="1:10" ht="15" thickBot="1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</row>
    <row r="276" spans="1:10" ht="15" thickBot="1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</row>
    <row r="277" spans="1:10" ht="15" thickBot="1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</row>
    <row r="278" spans="1:10" ht="15" thickBot="1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</row>
    <row r="279" spans="1:10" ht="15" thickBot="1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</row>
    <row r="280" spans="1:10" ht="15" thickBot="1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</row>
    <row r="281" spans="1:10" ht="15" thickBot="1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</row>
    <row r="282" spans="1:10" ht="15" thickBot="1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</row>
    <row r="283" spans="1:10" ht="15" thickBot="1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</row>
    <row r="284" spans="1:10" ht="15" thickBot="1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</row>
    <row r="285" spans="1:10" ht="15" thickBot="1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</row>
    <row r="286" spans="1:10" ht="15" thickBot="1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</row>
    <row r="287" spans="1:10" ht="15" thickBot="1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</row>
    <row r="288" spans="1:10" ht="15" thickBot="1">
      <c r="A288" s="3" t="s">
        <v>312</v>
      </c>
      <c r="B288" s="3" t="s">
        <v>11</v>
      </c>
      <c r="C288" s="3" t="s">
        <v>12</v>
      </c>
      <c r="D288" s="8"/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</row>
    <row r="289" spans="1:10" ht="15" thickBot="1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</row>
    <row r="290" spans="1:10" ht="15" thickBot="1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</row>
    <row r="291" spans="1:10" ht="15" thickBot="1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</row>
    <row r="292" spans="1:10" ht="15" thickBot="1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3"/>
      <c r="J292" s="3">
        <v>278.77999999999997</v>
      </c>
    </row>
    <row r="293" spans="1:10" ht="15" thickBot="1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8"/>
      <c r="I293" s="3">
        <v>173.84</v>
      </c>
      <c r="J293" s="3">
        <v>298.88</v>
      </c>
    </row>
    <row r="294" spans="1:10" ht="15" thickBot="1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</row>
    <row r="295" spans="1:10" ht="15" thickBot="1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</row>
    <row r="296" spans="1:10" ht="15" thickBot="1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</row>
    <row r="297" spans="1:10" ht="15" thickBot="1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</row>
    <row r="298" spans="1:10" ht="15" thickBot="1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8"/>
      <c r="I298" s="3">
        <v>387.45</v>
      </c>
      <c r="J298" s="3">
        <v>150.63999999999999</v>
      </c>
    </row>
    <row r="299" spans="1:10" ht="15" thickBot="1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</row>
    <row r="300" spans="1:10" ht="15" thickBot="1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</row>
    <row r="301" spans="1:10" ht="15" thickBot="1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</row>
    <row r="302" spans="1:10" ht="15" thickBot="1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</row>
    <row r="303" spans="1:10" ht="15" thickBot="1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</row>
    <row r="304" spans="1:10" ht="15" thickBot="1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</row>
    <row r="305" spans="1:10" ht="15" thickBot="1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</row>
    <row r="306" spans="1:10" ht="15" thickBot="1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</row>
    <row r="307" spans="1:10" ht="15" thickBot="1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</row>
    <row r="308" spans="1:10" ht="15" thickBot="1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</row>
    <row r="309" spans="1:10" ht="15" thickBot="1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</row>
    <row r="310" spans="1:10" ht="15" thickBot="1">
      <c r="A310" s="3" t="s">
        <v>334</v>
      </c>
      <c r="B310" s="3" t="s">
        <v>22</v>
      </c>
      <c r="C310" s="3" t="s">
        <v>12</v>
      </c>
      <c r="D310" s="8"/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</row>
    <row r="311" spans="1:10" ht="15" thickBot="1">
      <c r="A311" s="3" t="s">
        <v>335</v>
      </c>
      <c r="B311" s="3" t="s">
        <v>17</v>
      </c>
      <c r="C311" s="3" t="s">
        <v>31</v>
      </c>
      <c r="D311" s="8"/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</row>
    <row r="312" spans="1:10" ht="15" thickBot="1">
      <c r="A312" s="3" t="s">
        <v>336</v>
      </c>
      <c r="B312" s="3" t="s">
        <v>48</v>
      </c>
      <c r="C312" s="3" t="s">
        <v>50</v>
      </c>
      <c r="D312" s="8"/>
      <c r="E312" s="3" t="s">
        <v>14</v>
      </c>
      <c r="F312" s="3" t="s">
        <v>28</v>
      </c>
      <c r="G312" s="4">
        <v>45234</v>
      </c>
      <c r="H312" s="3">
        <v>157</v>
      </c>
      <c r="I312" s="3"/>
      <c r="J312" s="3">
        <v>274.99</v>
      </c>
    </row>
    <row r="313" spans="1:10" ht="15" thickBot="1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</row>
    <row r="314" spans="1:10" ht="15" thickBot="1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</row>
    <row r="315" spans="1:10" ht="15" thickBot="1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</row>
    <row r="316" spans="1:10" ht="15" thickBot="1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</row>
    <row r="317" spans="1:10" ht="15" thickBot="1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</row>
    <row r="318" spans="1:10" ht="15" thickBot="1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8"/>
      <c r="I318" s="3">
        <v>192.35</v>
      </c>
      <c r="J318" s="3">
        <v>227.09</v>
      </c>
    </row>
    <row r="319" spans="1:10" ht="15" thickBot="1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</row>
    <row r="320" spans="1:10" ht="15" thickBot="1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</row>
    <row r="321" spans="1:10" ht="15" thickBot="1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8"/>
      <c r="I321" s="3">
        <v>225.94</v>
      </c>
      <c r="J321" s="3">
        <v>280.7</v>
      </c>
    </row>
    <row r="322" spans="1:10" ht="15" thickBot="1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</row>
    <row r="323" spans="1:10" ht="15" thickBot="1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</row>
    <row r="324" spans="1:10" ht="15" thickBot="1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</row>
    <row r="325" spans="1:10" ht="15" thickBot="1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</row>
    <row r="326" spans="1:10" ht="15" thickBot="1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</row>
    <row r="327" spans="1:10" ht="15" thickBot="1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</row>
    <row r="328" spans="1:10" ht="15" thickBot="1">
      <c r="A328" s="3" t="s">
        <v>352</v>
      </c>
      <c r="B328" s="3" t="s">
        <v>48</v>
      </c>
      <c r="C328" s="3" t="s">
        <v>18</v>
      </c>
      <c r="D328" s="8"/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</row>
    <row r="329" spans="1:10" ht="15" thickBot="1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</row>
    <row r="330" spans="1:10" ht="15" thickBot="1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</row>
    <row r="331" spans="1:10" ht="15" thickBot="1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</row>
    <row r="332" spans="1:10" ht="15" thickBot="1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8"/>
      <c r="I332" s="3">
        <v>5.61</v>
      </c>
      <c r="J332" s="3">
        <v>193.4</v>
      </c>
    </row>
    <row r="333" spans="1:10" ht="15" thickBot="1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</row>
    <row r="334" spans="1:10" ht="15" thickBot="1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</row>
    <row r="335" spans="1:10" ht="15" thickBot="1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</row>
    <row r="336" spans="1:10" ht="15" thickBot="1">
      <c r="A336" s="3" t="s">
        <v>360</v>
      </c>
      <c r="B336" s="8"/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</row>
    <row r="337" spans="1:10" ht="15" thickBot="1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</row>
    <row r="338" spans="1:10" ht="15" thickBot="1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</row>
    <row r="339" spans="1:10" ht="15" thickBot="1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</row>
    <row r="340" spans="1:10" ht="15" thickBot="1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</row>
    <row r="341" spans="1:10" ht="15" thickBot="1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</row>
    <row r="342" spans="1:10" ht="15" thickBot="1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</row>
    <row r="343" spans="1:10" ht="15" thickBot="1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</row>
    <row r="344" spans="1:10" ht="15" thickBot="1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</row>
    <row r="345" spans="1:10" ht="15" thickBot="1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</row>
    <row r="346" spans="1:10" ht="15" thickBot="1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</row>
    <row r="347" spans="1:10" ht="15" thickBot="1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</row>
    <row r="348" spans="1:10" ht="15" thickBot="1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</row>
    <row r="349" spans="1:10" ht="15" thickBot="1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</row>
    <row r="350" spans="1:10" ht="15" thickBot="1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</row>
    <row r="351" spans="1:10" ht="15" thickBot="1">
      <c r="A351" s="3" t="s">
        <v>375</v>
      </c>
      <c r="B351" s="8"/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</row>
    <row r="352" spans="1:10" ht="15" thickBot="1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</row>
    <row r="353" spans="1:10" ht="15" thickBot="1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</row>
    <row r="354" spans="1:10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 s="5">
        <v>425</v>
      </c>
      <c r="I354" s="5">
        <v>174.13</v>
      </c>
      <c r="J354" s="5">
        <v>315.27999999999997</v>
      </c>
    </row>
    <row r="356" spans="1:10">
      <c r="A356" s="47" t="s">
        <v>389</v>
      </c>
      <c r="B356" s="47" t="s">
        <v>390</v>
      </c>
    </row>
    <row r="357" spans="1:10">
      <c r="A357" s="47" t="s">
        <v>381</v>
      </c>
      <c r="B357" s="47" t="s">
        <v>388</v>
      </c>
    </row>
    <row r="358" spans="1:10">
      <c r="A358" s="38"/>
      <c r="B358" s="38"/>
    </row>
    <row r="359" spans="1:10">
      <c r="A359" s="38" t="s">
        <v>0</v>
      </c>
      <c r="B359" s="38">
        <f>COUNTBLANK(Table13[Order ID])</f>
        <v>0</v>
      </c>
    </row>
    <row r="360" spans="1:10">
      <c r="A360" s="38" t="s">
        <v>1</v>
      </c>
      <c r="B360" s="38">
        <f>COUNTBLANK(Table13[Region])</f>
        <v>10</v>
      </c>
    </row>
    <row r="361" spans="1:10">
      <c r="A361" s="38" t="s">
        <v>2</v>
      </c>
      <c r="B361" s="38">
        <f>COUNTBLANK(Table13[Country])</f>
        <v>0</v>
      </c>
    </row>
    <row r="362" spans="1:10">
      <c r="A362" s="38" t="s">
        <v>382</v>
      </c>
      <c r="B362" s="38">
        <f>COUNTBLANK(Table13[Category])</f>
        <v>10</v>
      </c>
    </row>
    <row r="363" spans="1:10">
      <c r="A363" s="38" t="s">
        <v>4</v>
      </c>
      <c r="B363" s="38">
        <f>COUNTBLANK(Table13[Sales Channel])</f>
        <v>0</v>
      </c>
    </row>
    <row r="364" spans="1:10">
      <c r="A364" s="38" t="s">
        <v>383</v>
      </c>
      <c r="B364" s="38">
        <f>COUNTBLANK(Table13[Order Priority])</f>
        <v>0</v>
      </c>
    </row>
    <row r="365" spans="1:10">
      <c r="A365" s="38" t="s">
        <v>384</v>
      </c>
      <c r="B365" s="38">
        <f>COUNTBLANK(Table13[Order Date])</f>
        <v>0</v>
      </c>
    </row>
    <row r="366" spans="1:10">
      <c r="A366" s="38" t="s">
        <v>385</v>
      </c>
      <c r="B366" s="38">
        <f>COUNTBLANK(Table13[Units Sold])</f>
        <v>10</v>
      </c>
    </row>
    <row r="367" spans="1:10">
      <c r="A367" s="38" t="s">
        <v>386</v>
      </c>
      <c r="B367" s="38">
        <f>COUNTBLANK(Table13[Unit Price])</f>
        <v>10</v>
      </c>
    </row>
    <row r="368" spans="1:10">
      <c r="A368" s="38" t="s">
        <v>387</v>
      </c>
      <c r="B368" s="38">
        <f>COUNTBLANK(Table13[Unit Cost])</f>
        <v>0</v>
      </c>
    </row>
  </sheetData>
  <conditionalFormatting sqref="A4:J354">
    <cfRule type="containsBlanks" dxfId="2" priority="3">
      <formula>LEN(TRIM(A4))=0</formula>
    </cfRule>
  </conditionalFormatting>
  <conditionalFormatting sqref="B5:B354">
    <cfRule type="containsBlanks" dxfId="1" priority="1">
      <formula>LEN(TRIM(B5))=0</formula>
    </cfRule>
    <cfRule type="containsBlanks" dxfId="0" priority="2">
      <formula>LEN(TRIM(B5))=0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8402-27D5-40BF-A44C-A5143A819D77}">
  <dimension ref="A1:J354"/>
  <sheetViews>
    <sheetView topLeftCell="A338" workbookViewId="0">
      <selection activeCell="B356" sqref="B356"/>
    </sheetView>
  </sheetViews>
  <sheetFormatPr defaultRowHeight="14.4"/>
  <cols>
    <col min="1" max="1" width="12.44140625" bestFit="1" customWidth="1"/>
    <col min="2" max="2" width="11.21875" bestFit="1" customWidth="1"/>
    <col min="3" max="3" width="12.21875" bestFit="1" customWidth="1"/>
    <col min="4" max="4" width="13" bestFit="1" customWidth="1"/>
    <col min="5" max="5" width="12.33203125" bestFit="1" customWidth="1"/>
    <col min="6" max="6" width="11.5546875" bestFit="1" customWidth="1"/>
    <col min="7" max="7" width="15.44140625" bestFit="1" customWidth="1"/>
    <col min="8" max="8" width="9.77734375" bestFit="1" customWidth="1"/>
    <col min="9" max="9" width="9.5546875" bestFit="1" customWidth="1"/>
    <col min="10" max="10" width="13.109375" bestFit="1" customWidth="1"/>
  </cols>
  <sheetData>
    <row r="1" spans="1:10">
      <c r="A1" s="7" t="s">
        <v>391</v>
      </c>
    </row>
    <row r="2" spans="1:10">
      <c r="A2" s="7" t="s">
        <v>392</v>
      </c>
    </row>
    <row r="3" spans="1:10">
      <c r="A3" s="7"/>
    </row>
    <row r="4" spans="1:10" ht="29.4" thickBo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29.4" thickBo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</row>
    <row r="6" spans="1:10" ht="15" thickBot="1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</row>
    <row r="7" spans="1:10" ht="15" thickBot="1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</row>
    <row r="8" spans="1:10" ht="15" thickBot="1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</row>
    <row r="9" spans="1:10" ht="15" thickBot="1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</row>
    <row r="10" spans="1:10" ht="15" thickBot="1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</row>
    <row r="11" spans="1:10" ht="15" thickBot="1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</row>
    <row r="12" spans="1:10" ht="29.4" thickBot="1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</row>
    <row r="13" spans="1:10" ht="29.4" thickBot="1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</row>
    <row r="14" spans="1:10" ht="15" thickBot="1">
      <c r="A14" s="3" t="s">
        <v>35</v>
      </c>
      <c r="B14" s="3"/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</row>
    <row r="15" spans="1:10" ht="15" thickBot="1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</row>
    <row r="16" spans="1:10" ht="15" thickBot="1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</row>
    <row r="17" spans="1:10" ht="15" thickBot="1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</row>
    <row r="18" spans="1:10" ht="15" thickBot="1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</row>
    <row r="19" spans="1:10" ht="29.4" thickBot="1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</row>
    <row r="20" spans="1:10" ht="29.4" thickBot="1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</row>
    <row r="21" spans="1:10" ht="29.4" thickBot="1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</row>
    <row r="22" spans="1:10" ht="15" thickBot="1">
      <c r="A22" s="3" t="s">
        <v>44</v>
      </c>
      <c r="B22" s="3"/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</row>
    <row r="23" spans="1:10" ht="29.4" thickBot="1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</row>
    <row r="24" spans="1:10" ht="15" thickBot="1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</row>
    <row r="25" spans="1:10" ht="29.4" thickBot="1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</row>
    <row r="26" spans="1:10" ht="15" thickBot="1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</row>
    <row r="27" spans="1:10" ht="29.4" thickBot="1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</row>
    <row r="28" spans="1:10" ht="29.4" thickBot="1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</row>
    <row r="29" spans="1:10" ht="15" thickBot="1">
      <c r="A29" s="3" t="s">
        <v>53</v>
      </c>
      <c r="B29" s="3" t="s">
        <v>17</v>
      </c>
      <c r="C29" s="3" t="s">
        <v>18</v>
      </c>
      <c r="D29" s="3"/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</row>
    <row r="30" spans="1:10" ht="29.4" thickBot="1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</row>
    <row r="31" spans="1:10" ht="15" thickBot="1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</row>
    <row r="32" spans="1:10" ht="15" thickBot="1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3"/>
      <c r="J32" s="3">
        <v>383.01</v>
      </c>
    </row>
    <row r="33" spans="1:10" ht="29.4" thickBot="1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</row>
    <row r="34" spans="1:10" ht="29.4" thickBot="1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</row>
    <row r="35" spans="1:10" ht="29.4" thickBot="1">
      <c r="A35" s="3" t="s">
        <v>59</v>
      </c>
      <c r="B35" s="3"/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</row>
    <row r="36" spans="1:10" ht="29.4" thickBot="1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</row>
    <row r="37" spans="1:10" ht="29.4" thickBot="1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</row>
    <row r="38" spans="1:10" ht="15" thickBot="1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</row>
    <row r="39" spans="1:10" ht="15" thickBot="1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</row>
    <row r="40" spans="1:10" ht="29.4" thickBot="1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</row>
    <row r="41" spans="1:10" ht="15" thickBot="1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3"/>
      <c r="J41" s="3">
        <v>332.07</v>
      </c>
    </row>
    <row r="42" spans="1:10" ht="15" thickBot="1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</row>
    <row r="43" spans="1:10" ht="15" thickBot="1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3"/>
      <c r="I43" s="3">
        <v>91.23</v>
      </c>
      <c r="J43" s="3">
        <v>381.21</v>
      </c>
    </row>
    <row r="44" spans="1:10" ht="15" thickBot="1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</row>
    <row r="45" spans="1:10" ht="29.4" thickBot="1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</row>
    <row r="46" spans="1:10" ht="15" thickBot="1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</row>
    <row r="47" spans="1:10" ht="29.4" thickBot="1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</row>
    <row r="48" spans="1:10" ht="29.4" thickBot="1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</row>
    <row r="49" spans="1:10" ht="29.4" thickBot="1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3"/>
      <c r="J49" s="3">
        <v>94.56</v>
      </c>
    </row>
    <row r="50" spans="1:10" ht="29.4" thickBot="1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</row>
    <row r="51" spans="1:10" ht="15" thickBot="1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</row>
    <row r="52" spans="1:10" ht="29.4" thickBot="1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</row>
    <row r="53" spans="1:10" ht="15" thickBot="1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</row>
    <row r="54" spans="1:10" ht="15" thickBot="1">
      <c r="A54" s="3" t="s">
        <v>78</v>
      </c>
      <c r="B54" s="3"/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</row>
    <row r="55" spans="1:10" ht="15" thickBot="1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</row>
    <row r="56" spans="1:10" ht="15" thickBot="1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</row>
    <row r="57" spans="1:10" ht="15" thickBot="1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</row>
    <row r="58" spans="1:10" ht="29.4" thickBot="1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</row>
    <row r="59" spans="1:10" ht="15" thickBot="1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</row>
    <row r="60" spans="1:10" ht="15" thickBot="1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</row>
    <row r="61" spans="1:10" ht="15" thickBot="1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</row>
    <row r="62" spans="1:10" ht="15" thickBot="1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</row>
    <row r="63" spans="1:10" ht="15" thickBot="1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</row>
    <row r="64" spans="1:10" ht="15" thickBot="1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</row>
    <row r="65" spans="1:10" ht="15" thickBot="1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</row>
    <row r="66" spans="1:10" ht="15" thickBot="1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</row>
    <row r="67" spans="1:10" ht="15" thickBot="1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</row>
    <row r="68" spans="1:10" ht="29.4" thickBot="1">
      <c r="A68" s="3" t="s">
        <v>92</v>
      </c>
      <c r="B68" s="3"/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</row>
    <row r="69" spans="1:10" ht="29.4" thickBot="1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</row>
    <row r="70" spans="1:10" ht="15" thickBot="1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</row>
    <row r="71" spans="1:10" ht="15" thickBot="1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</row>
    <row r="72" spans="1:10" ht="29.4" thickBot="1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</row>
    <row r="73" spans="1:10" ht="29.4" thickBot="1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</row>
    <row r="74" spans="1:10" ht="29.4" thickBot="1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</row>
    <row r="75" spans="1:10" ht="29.4" thickBot="1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</row>
    <row r="76" spans="1:10" ht="15" thickBot="1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</row>
    <row r="77" spans="1:10" ht="29.4" thickBot="1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</row>
    <row r="78" spans="1:10" ht="15" thickBot="1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</row>
    <row r="79" spans="1:10" ht="29.4" thickBot="1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</row>
    <row r="80" spans="1:10" ht="29.4" thickBot="1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</row>
    <row r="81" spans="1:10" ht="15" thickBot="1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</row>
    <row r="82" spans="1:10" ht="29.4" thickBot="1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</row>
    <row r="83" spans="1:10" ht="15" thickBot="1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</row>
    <row r="84" spans="1:10" ht="15" thickBot="1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3"/>
      <c r="J84" s="3">
        <v>339.51</v>
      </c>
    </row>
    <row r="85" spans="1:10" ht="29.4" thickBot="1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</row>
    <row r="86" spans="1:10" ht="29.4" thickBot="1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</row>
    <row r="87" spans="1:10" ht="15" thickBot="1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</row>
    <row r="88" spans="1:10" ht="15" thickBot="1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</row>
    <row r="89" spans="1:10" ht="15" thickBot="1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</row>
    <row r="90" spans="1:10" ht="15" thickBot="1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</row>
    <row r="91" spans="1:10" ht="29.4" thickBot="1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</row>
    <row r="92" spans="1:10" ht="29.4" thickBot="1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</row>
    <row r="93" spans="1:10" ht="29.4" thickBot="1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</row>
    <row r="94" spans="1:10" ht="29.4" thickBot="1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</row>
    <row r="95" spans="1:10" ht="15" thickBot="1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</row>
    <row r="96" spans="1:10" ht="29.4" thickBot="1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3"/>
      <c r="J96" s="3">
        <v>55.25</v>
      </c>
    </row>
    <row r="97" spans="1:10" ht="15" thickBot="1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</row>
    <row r="98" spans="1:10" ht="29.4" thickBot="1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</row>
    <row r="99" spans="1:10" ht="15" thickBot="1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</row>
    <row r="100" spans="1:10" ht="29.4" thickBot="1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</row>
    <row r="101" spans="1:10" ht="15" thickBot="1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</row>
    <row r="102" spans="1:10" ht="15" thickBot="1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</row>
    <row r="103" spans="1:10" ht="29.4" thickBot="1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</row>
    <row r="104" spans="1:10" ht="29.4" thickBot="1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</row>
    <row r="105" spans="1:10" ht="29.4" thickBot="1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</row>
    <row r="106" spans="1:10" ht="15" thickBot="1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</row>
    <row r="107" spans="1:10" ht="29.4" thickBot="1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</row>
    <row r="108" spans="1:10" ht="15" thickBot="1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</row>
    <row r="109" spans="1:10" ht="29.4" thickBot="1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</row>
    <row r="110" spans="1:10" ht="29.4" thickBot="1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</row>
    <row r="111" spans="1:10" ht="15" thickBot="1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</row>
    <row r="112" spans="1:10" ht="29.4" thickBot="1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</row>
    <row r="113" spans="1:10" ht="29.4" thickBot="1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</row>
    <row r="114" spans="1:10" ht="29.4" thickBot="1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</row>
    <row r="115" spans="1:10" ht="15" thickBot="1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</row>
    <row r="116" spans="1:10" ht="29.4" thickBot="1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</row>
    <row r="117" spans="1:10" ht="29.4" thickBot="1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</row>
    <row r="118" spans="1:10" ht="29.4" thickBot="1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</row>
    <row r="119" spans="1:10" ht="29.4" thickBot="1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</row>
    <row r="120" spans="1:10" ht="15" thickBot="1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</row>
    <row r="121" spans="1:10" ht="15" thickBot="1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</row>
    <row r="122" spans="1:10" ht="15" thickBot="1">
      <c r="A122" s="3" t="s">
        <v>146</v>
      </c>
      <c r="B122" s="3"/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</row>
    <row r="123" spans="1:10" ht="29.4" thickBot="1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</row>
    <row r="124" spans="1:10" ht="29.4" thickBot="1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</row>
    <row r="125" spans="1:10" ht="29.4" thickBot="1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</row>
    <row r="126" spans="1:10" ht="29.4" thickBot="1">
      <c r="A126" s="3" t="s">
        <v>150</v>
      </c>
      <c r="B126" s="3"/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</row>
    <row r="127" spans="1:10" ht="15" thickBot="1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</row>
    <row r="128" spans="1:10" ht="29.4" thickBot="1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</row>
    <row r="129" spans="1:10" ht="29.4" thickBot="1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</row>
    <row r="130" spans="1:10" ht="15" thickBot="1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</row>
    <row r="131" spans="1:10" ht="29.4" thickBot="1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</row>
    <row r="132" spans="1:10" ht="29.4" thickBot="1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</row>
    <row r="133" spans="1:10" ht="15" thickBot="1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</row>
    <row r="134" spans="1:10" ht="15" thickBot="1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</row>
    <row r="135" spans="1:10" ht="15" thickBot="1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3"/>
      <c r="I135" s="3">
        <v>268.45999999999998</v>
      </c>
      <c r="J135" s="3">
        <v>199.19</v>
      </c>
    </row>
    <row r="136" spans="1:10" ht="15" thickBot="1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</row>
    <row r="137" spans="1:10" ht="15" thickBot="1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</row>
    <row r="138" spans="1:10" ht="15" thickBot="1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</row>
    <row r="139" spans="1:10" ht="15" thickBot="1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</row>
    <row r="140" spans="1:10" ht="15" thickBot="1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</row>
    <row r="141" spans="1:10" ht="15" thickBot="1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</row>
    <row r="142" spans="1:10" ht="29.4" thickBot="1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</row>
    <row r="143" spans="1:10" ht="15" thickBot="1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</row>
    <row r="144" spans="1:10" ht="29.4" thickBot="1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</row>
    <row r="145" spans="1:10" ht="15" thickBot="1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</row>
    <row r="146" spans="1:10" ht="29.4" thickBot="1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</row>
    <row r="147" spans="1:10" ht="29.4" thickBot="1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</row>
    <row r="148" spans="1:10" ht="29.4" thickBot="1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</row>
    <row r="149" spans="1:10" ht="29.4" thickBot="1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</row>
    <row r="150" spans="1:10" ht="15" thickBot="1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</row>
    <row r="151" spans="1:10" ht="15" thickBot="1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</row>
    <row r="152" spans="1:10" ht="15" thickBot="1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</row>
    <row r="153" spans="1:10" ht="15" thickBot="1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</row>
    <row r="154" spans="1:10" ht="15" thickBot="1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</row>
    <row r="155" spans="1:10" ht="15" thickBot="1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</row>
    <row r="156" spans="1:10" ht="15" thickBot="1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</row>
    <row r="157" spans="1:10" ht="15" thickBot="1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</row>
    <row r="158" spans="1:10" ht="15" thickBot="1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</row>
    <row r="159" spans="1:10" ht="15" thickBot="1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</row>
    <row r="160" spans="1:10" ht="15" thickBot="1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</row>
    <row r="161" spans="1:10" ht="15" thickBot="1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3"/>
      <c r="J161" s="3">
        <v>220.75</v>
      </c>
    </row>
    <row r="162" spans="1:10" ht="29.4" thickBot="1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</row>
    <row r="163" spans="1:10" ht="15" thickBot="1">
      <c r="A163" s="3" t="s">
        <v>187</v>
      </c>
      <c r="B163" s="3" t="s">
        <v>22</v>
      </c>
      <c r="C163" s="3" t="s">
        <v>31</v>
      </c>
      <c r="D163" s="3"/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</row>
    <row r="164" spans="1:10" ht="15" thickBot="1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</row>
    <row r="165" spans="1:10" ht="15" thickBot="1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</row>
    <row r="166" spans="1:10" ht="15" thickBot="1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</row>
    <row r="167" spans="1:10" ht="29.4" thickBot="1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</row>
    <row r="168" spans="1:10" ht="29.4" thickBot="1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</row>
    <row r="169" spans="1:10" ht="29.4" thickBot="1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</row>
    <row r="170" spans="1:10" ht="15" thickBot="1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</row>
    <row r="171" spans="1:10" ht="15" thickBot="1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</row>
    <row r="172" spans="1:10" ht="29.4" thickBot="1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</row>
    <row r="173" spans="1:10" ht="15" thickBot="1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</row>
    <row r="174" spans="1:10" ht="29.4" thickBot="1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</row>
    <row r="175" spans="1:10" ht="15" thickBot="1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</row>
    <row r="176" spans="1:10" ht="15" thickBot="1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</row>
    <row r="177" spans="1:10" ht="29.4" thickBot="1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</row>
    <row r="178" spans="1:10" ht="15" thickBot="1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</row>
    <row r="179" spans="1:10" ht="29.4" thickBot="1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</row>
    <row r="180" spans="1:10" ht="15" thickBot="1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</row>
    <row r="181" spans="1:10" ht="29.4" thickBot="1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</row>
    <row r="182" spans="1:10" ht="15" thickBot="1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</row>
    <row r="183" spans="1:10" ht="15" thickBot="1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</row>
    <row r="184" spans="1:10" ht="15" thickBot="1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</row>
    <row r="185" spans="1:10" ht="15" thickBot="1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</row>
    <row r="186" spans="1:10" ht="29.4" thickBot="1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</row>
    <row r="187" spans="1:10" ht="15" thickBot="1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</row>
    <row r="188" spans="1:10" ht="15" thickBot="1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</row>
    <row r="189" spans="1:10" ht="15" thickBot="1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</row>
    <row r="190" spans="1:10" ht="29.4" thickBot="1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</row>
    <row r="191" spans="1:10" ht="15" thickBot="1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</row>
    <row r="192" spans="1:10" ht="15" thickBot="1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</row>
    <row r="193" spans="1:10" ht="15" thickBot="1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</row>
    <row r="194" spans="1:10" ht="29.4" thickBot="1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</row>
    <row r="195" spans="1:10" ht="15" thickBot="1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</row>
    <row r="196" spans="1:10" ht="29.4" thickBot="1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</row>
    <row r="197" spans="1:10" ht="15" thickBot="1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</row>
    <row r="198" spans="1:10" ht="15" thickBot="1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</row>
    <row r="199" spans="1:10" ht="15" thickBot="1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</row>
    <row r="200" spans="1:10" ht="29.4" thickBot="1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</row>
    <row r="201" spans="1:10" ht="29.4" thickBot="1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</row>
    <row r="202" spans="1:10" ht="15" thickBot="1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</row>
    <row r="203" spans="1:10" ht="15" thickBot="1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</row>
    <row r="204" spans="1:10" ht="15" thickBot="1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3"/>
      <c r="I204" s="3">
        <v>407.81</v>
      </c>
      <c r="J204" s="3">
        <v>351.95</v>
      </c>
    </row>
    <row r="205" spans="1:10" ht="29.4" thickBot="1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</row>
    <row r="206" spans="1:10" ht="29.4" thickBot="1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</row>
    <row r="207" spans="1:10" ht="29.4" thickBot="1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</row>
    <row r="208" spans="1:10" ht="29.4" thickBot="1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</row>
    <row r="209" spans="1:10" ht="29.4" thickBot="1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</row>
    <row r="210" spans="1:10" ht="15" thickBot="1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</row>
    <row r="211" spans="1:10" ht="15" thickBot="1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</row>
    <row r="212" spans="1:10" ht="15" thickBot="1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</row>
    <row r="213" spans="1:10" ht="29.4" thickBot="1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</row>
    <row r="214" spans="1:10" ht="15" thickBot="1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</row>
    <row r="215" spans="1:10" ht="15" thickBot="1">
      <c r="A215" s="3" t="s">
        <v>239</v>
      </c>
      <c r="B215" s="3" t="s">
        <v>11</v>
      </c>
      <c r="C215" s="3" t="s">
        <v>50</v>
      </c>
      <c r="D215" s="3"/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</row>
    <row r="216" spans="1:10" ht="15" thickBot="1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</row>
    <row r="217" spans="1:10" ht="29.4" thickBot="1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</row>
    <row r="218" spans="1:10" ht="15" thickBot="1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</row>
    <row r="219" spans="1:10" ht="29.4" thickBot="1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</row>
    <row r="220" spans="1:10" ht="29.4" thickBot="1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</row>
    <row r="221" spans="1:10" ht="15" thickBot="1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</row>
    <row r="222" spans="1:10" ht="29.4" thickBot="1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</row>
    <row r="223" spans="1:10" ht="29.4" thickBot="1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</row>
    <row r="224" spans="1:10" ht="15" thickBot="1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</row>
    <row r="225" spans="1:10" ht="15" thickBot="1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</row>
    <row r="226" spans="1:10" ht="29.4" thickBot="1">
      <c r="A226" s="3" t="s">
        <v>250</v>
      </c>
      <c r="B226" s="3"/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</row>
    <row r="227" spans="1:10" ht="29.4" thickBot="1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</row>
    <row r="228" spans="1:10" ht="15" thickBot="1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</row>
    <row r="229" spans="1:10" ht="29.4" thickBot="1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</row>
    <row r="230" spans="1:10" ht="15" thickBot="1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</row>
    <row r="231" spans="1:10" ht="15" thickBot="1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</row>
    <row r="232" spans="1:10" ht="15" thickBot="1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3"/>
      <c r="I232" s="3">
        <v>49.37</v>
      </c>
      <c r="J232" s="3">
        <v>39.32</v>
      </c>
    </row>
    <row r="233" spans="1:10" ht="15" thickBot="1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</row>
    <row r="234" spans="1:10" ht="29.4" thickBot="1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</row>
    <row r="235" spans="1:10" ht="15" thickBot="1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</row>
    <row r="236" spans="1:10" ht="15" thickBot="1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</row>
    <row r="237" spans="1:10" ht="15" thickBot="1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</row>
    <row r="238" spans="1:10" ht="15" thickBot="1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</row>
    <row r="239" spans="1:10" ht="15" thickBot="1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</row>
    <row r="240" spans="1:10" ht="15" thickBot="1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</row>
    <row r="241" spans="1:10" ht="29.4" thickBot="1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</row>
    <row r="242" spans="1:10" ht="15" thickBot="1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</row>
    <row r="243" spans="1:10" ht="15" thickBot="1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</row>
    <row r="244" spans="1:10" ht="15" thickBot="1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</row>
    <row r="245" spans="1:10" ht="15" thickBot="1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</row>
    <row r="246" spans="1:10" ht="29.4" thickBot="1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</row>
    <row r="247" spans="1:10" ht="29.4" thickBot="1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</row>
    <row r="248" spans="1:10" ht="15" thickBot="1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</row>
    <row r="249" spans="1:10" ht="15" thickBot="1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</row>
    <row r="250" spans="1:10" ht="29.4" thickBot="1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</row>
    <row r="251" spans="1:10" ht="29.4" thickBot="1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</row>
    <row r="252" spans="1:10" ht="15" thickBot="1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</row>
    <row r="253" spans="1:10" ht="15" thickBot="1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</row>
    <row r="254" spans="1:10" ht="29.4" thickBot="1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</row>
    <row r="255" spans="1:10" ht="29.4" thickBot="1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3"/>
      <c r="I255" s="3">
        <v>298.8</v>
      </c>
      <c r="J255" s="3">
        <v>333.41</v>
      </c>
    </row>
    <row r="256" spans="1:10" ht="29.4" thickBot="1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</row>
    <row r="257" spans="1:10" ht="15" thickBot="1">
      <c r="A257" s="3" t="s">
        <v>281</v>
      </c>
      <c r="B257" s="3" t="s">
        <v>17</v>
      </c>
      <c r="C257" s="3" t="s">
        <v>12</v>
      </c>
      <c r="D257" s="3"/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</row>
    <row r="258" spans="1:10" ht="29.4" thickBot="1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</row>
    <row r="259" spans="1:10" ht="15" thickBot="1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</row>
    <row r="260" spans="1:10" ht="15" thickBot="1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</row>
    <row r="261" spans="1:10" ht="15" thickBot="1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3"/>
      <c r="J261" s="3">
        <v>337.1</v>
      </c>
    </row>
    <row r="262" spans="1:10" ht="29.4" thickBot="1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</row>
    <row r="263" spans="1:10" ht="29.4" thickBot="1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</row>
    <row r="264" spans="1:10" ht="15" thickBot="1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</row>
    <row r="265" spans="1:10" ht="15" thickBot="1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3"/>
      <c r="J265" s="3">
        <v>155.38</v>
      </c>
    </row>
    <row r="266" spans="1:10" ht="15" thickBot="1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</row>
    <row r="267" spans="1:10" ht="29.4" thickBot="1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</row>
    <row r="268" spans="1:10" ht="15" thickBot="1">
      <c r="A268" s="3" t="s">
        <v>292</v>
      </c>
      <c r="B268" s="3" t="s">
        <v>22</v>
      </c>
      <c r="C268" s="3" t="s">
        <v>18</v>
      </c>
      <c r="D268" s="3"/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</row>
    <row r="269" spans="1:10" ht="15" thickBot="1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</row>
    <row r="270" spans="1:10" ht="15" thickBot="1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</row>
    <row r="271" spans="1:10" ht="29.4" thickBot="1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</row>
    <row r="272" spans="1:10" ht="29.4" thickBot="1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</row>
    <row r="273" spans="1:10" ht="15" thickBot="1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</row>
    <row r="274" spans="1:10" ht="15" thickBot="1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</row>
    <row r="275" spans="1:10" ht="15" thickBot="1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</row>
    <row r="276" spans="1:10" ht="15" thickBot="1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</row>
    <row r="277" spans="1:10" ht="15" thickBot="1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</row>
    <row r="278" spans="1:10" ht="29.4" thickBot="1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</row>
    <row r="279" spans="1:10" ht="29.4" thickBot="1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</row>
    <row r="280" spans="1:10" ht="29.4" thickBot="1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</row>
    <row r="281" spans="1:10" ht="29.4" thickBot="1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</row>
    <row r="282" spans="1:10" ht="29.4" thickBot="1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</row>
    <row r="283" spans="1:10" ht="29.4" thickBot="1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</row>
    <row r="284" spans="1:10" ht="15" thickBot="1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</row>
    <row r="285" spans="1:10" ht="15" thickBot="1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</row>
    <row r="286" spans="1:10" ht="29.4" thickBot="1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</row>
    <row r="287" spans="1:10" ht="15" thickBot="1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</row>
    <row r="288" spans="1:10" ht="15" thickBot="1">
      <c r="A288" s="3" t="s">
        <v>312</v>
      </c>
      <c r="B288" s="3" t="s">
        <v>11</v>
      </c>
      <c r="C288" s="3" t="s">
        <v>12</v>
      </c>
      <c r="D288" s="3"/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</row>
    <row r="289" spans="1:10" ht="29.4" thickBot="1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</row>
    <row r="290" spans="1:10" ht="15" thickBot="1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</row>
    <row r="291" spans="1:10" ht="15" thickBot="1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</row>
    <row r="292" spans="1:10" ht="15" thickBot="1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3"/>
      <c r="J292" s="3">
        <v>278.77999999999997</v>
      </c>
    </row>
    <row r="293" spans="1:10" ht="15" thickBot="1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3"/>
      <c r="I293" s="3">
        <v>173.84</v>
      </c>
      <c r="J293" s="3">
        <v>298.88</v>
      </c>
    </row>
    <row r="294" spans="1:10" ht="15" thickBot="1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</row>
    <row r="295" spans="1:10" ht="15" thickBot="1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</row>
    <row r="296" spans="1:10" ht="29.4" thickBot="1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</row>
    <row r="297" spans="1:10" ht="15" thickBot="1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</row>
    <row r="298" spans="1:10" ht="29.4" thickBot="1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3"/>
      <c r="I298" s="3">
        <v>387.45</v>
      </c>
      <c r="J298" s="3">
        <v>150.63999999999999</v>
      </c>
    </row>
    <row r="299" spans="1:10" ht="15" thickBot="1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</row>
    <row r="300" spans="1:10" ht="15" thickBot="1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</row>
    <row r="301" spans="1:10" ht="15" thickBot="1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</row>
    <row r="302" spans="1:10" ht="15" thickBot="1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</row>
    <row r="303" spans="1:10" ht="29.4" thickBot="1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</row>
    <row r="304" spans="1:10" ht="15" thickBot="1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</row>
    <row r="305" spans="1:10" ht="29.4" thickBot="1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</row>
    <row r="306" spans="1:10" ht="15" thickBot="1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</row>
    <row r="307" spans="1:10" ht="15" thickBot="1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</row>
    <row r="308" spans="1:10" ht="15" thickBot="1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</row>
    <row r="309" spans="1:10" ht="15" thickBot="1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</row>
    <row r="310" spans="1:10" ht="15" thickBot="1">
      <c r="A310" s="3" t="s">
        <v>334</v>
      </c>
      <c r="B310" s="3" t="s">
        <v>22</v>
      </c>
      <c r="C310" s="3" t="s">
        <v>12</v>
      </c>
      <c r="D310" s="3"/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</row>
    <row r="311" spans="1:10" ht="15" thickBot="1">
      <c r="A311" s="3" t="s">
        <v>335</v>
      </c>
      <c r="B311" s="3" t="s">
        <v>17</v>
      </c>
      <c r="C311" s="3" t="s">
        <v>31</v>
      </c>
      <c r="D311" s="3"/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</row>
    <row r="312" spans="1:10" ht="15" thickBot="1">
      <c r="A312" s="3" t="s">
        <v>336</v>
      </c>
      <c r="B312" s="3" t="s">
        <v>48</v>
      </c>
      <c r="C312" s="3" t="s">
        <v>50</v>
      </c>
      <c r="D312" s="3"/>
      <c r="E312" s="3" t="s">
        <v>14</v>
      </c>
      <c r="F312" s="3" t="s">
        <v>28</v>
      </c>
      <c r="G312" s="4">
        <v>45234</v>
      </c>
      <c r="H312" s="3">
        <v>157</v>
      </c>
      <c r="I312" s="3"/>
      <c r="J312" s="3">
        <v>274.99</v>
      </c>
    </row>
    <row r="313" spans="1:10" ht="15" thickBot="1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</row>
    <row r="314" spans="1:10" ht="29.4" thickBot="1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</row>
    <row r="315" spans="1:10" ht="15" thickBot="1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</row>
    <row r="316" spans="1:10" ht="29.4" thickBot="1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</row>
    <row r="317" spans="1:10" ht="15" thickBot="1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</row>
    <row r="318" spans="1:10" ht="15" thickBot="1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3"/>
      <c r="I318" s="3">
        <v>192.35</v>
      </c>
      <c r="J318" s="3">
        <v>227.09</v>
      </c>
    </row>
    <row r="319" spans="1:10" ht="29.4" thickBot="1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</row>
    <row r="320" spans="1:10" ht="15" thickBot="1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</row>
    <row r="321" spans="1:10" ht="15" thickBot="1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3"/>
      <c r="I321" s="3">
        <v>225.94</v>
      </c>
      <c r="J321" s="3">
        <v>280.7</v>
      </c>
    </row>
    <row r="322" spans="1:10" ht="29.4" thickBot="1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</row>
    <row r="323" spans="1:10" ht="15" thickBot="1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</row>
    <row r="324" spans="1:10" ht="15" thickBot="1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</row>
    <row r="325" spans="1:10" ht="29.4" thickBot="1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</row>
    <row r="326" spans="1:10" ht="15" thickBot="1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</row>
    <row r="327" spans="1:10" ht="15" thickBot="1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</row>
    <row r="328" spans="1:10" ht="15" thickBot="1">
      <c r="A328" s="3" t="s">
        <v>352</v>
      </c>
      <c r="B328" s="3" t="s">
        <v>48</v>
      </c>
      <c r="C328" s="3" t="s">
        <v>18</v>
      </c>
      <c r="D328" s="3"/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</row>
    <row r="329" spans="1:10" ht="29.4" thickBot="1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</row>
    <row r="330" spans="1:10" ht="15" thickBot="1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</row>
    <row r="331" spans="1:10" ht="15" thickBot="1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</row>
    <row r="332" spans="1:10" ht="29.4" thickBot="1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3"/>
      <c r="I332" s="3">
        <v>5.61</v>
      </c>
      <c r="J332" s="3">
        <v>193.4</v>
      </c>
    </row>
    <row r="333" spans="1:10" ht="29.4" thickBot="1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</row>
    <row r="334" spans="1:10" ht="29.4" thickBot="1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</row>
    <row r="335" spans="1:10" ht="29.4" thickBot="1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</row>
    <row r="336" spans="1:10" ht="29.4" thickBot="1">
      <c r="A336" s="3" t="s">
        <v>360</v>
      </c>
      <c r="B336" s="3"/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</row>
    <row r="337" spans="1:10" ht="15" thickBot="1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</row>
    <row r="338" spans="1:10" ht="15" thickBot="1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</row>
    <row r="339" spans="1:10" ht="29.4" thickBot="1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</row>
    <row r="340" spans="1:10" ht="29.4" thickBot="1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</row>
    <row r="341" spans="1:10" ht="15" thickBot="1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</row>
    <row r="342" spans="1:10" ht="15" thickBot="1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</row>
    <row r="343" spans="1:10" ht="15" thickBot="1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</row>
    <row r="344" spans="1:10" ht="29.4" thickBot="1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</row>
    <row r="345" spans="1:10" ht="15" thickBot="1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</row>
    <row r="346" spans="1:10" ht="29.4" thickBot="1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</row>
    <row r="347" spans="1:10" ht="15" thickBot="1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</row>
    <row r="348" spans="1:10" ht="15" thickBot="1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</row>
    <row r="349" spans="1:10" ht="15" thickBot="1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</row>
    <row r="350" spans="1:10" ht="15" thickBot="1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</row>
    <row r="351" spans="1:10" ht="29.4" thickBot="1">
      <c r="A351" s="3" t="s">
        <v>375</v>
      </c>
      <c r="B351" s="3"/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</row>
    <row r="352" spans="1:10" ht="15" thickBot="1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</row>
    <row r="353" spans="1:10" ht="29.4" thickBot="1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</row>
    <row r="354" spans="1:10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 s="5">
        <v>425</v>
      </c>
      <c r="I354" s="5">
        <v>174.13</v>
      </c>
      <c r="J354" s="5">
        <v>315.27999999999997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EF54-E914-47ED-B91D-8F8CDDE2E334}">
  <dimension ref="A1:L352"/>
  <sheetViews>
    <sheetView workbookViewId="0">
      <selection activeCell="G14" sqref="G14"/>
    </sheetView>
  </sheetViews>
  <sheetFormatPr defaultRowHeight="14.4"/>
  <cols>
    <col min="1" max="1" width="11.21875" bestFit="1" customWidth="1"/>
    <col min="2" max="2" width="10.44140625" customWidth="1"/>
    <col min="3" max="4" width="13" bestFit="1" customWidth="1"/>
    <col min="6" max="6" width="11.109375" bestFit="1" customWidth="1"/>
  </cols>
  <sheetData>
    <row r="1" spans="1:12">
      <c r="F1" s="48" t="s">
        <v>452</v>
      </c>
    </row>
    <row r="2" spans="1:12" ht="15" thickBot="1">
      <c r="A2" s="28" t="s">
        <v>1</v>
      </c>
      <c r="B2" s="29" t="s">
        <v>3</v>
      </c>
      <c r="C2" s="51" t="s">
        <v>389</v>
      </c>
      <c r="D2" s="51" t="s">
        <v>390</v>
      </c>
      <c r="G2" s="47" t="s">
        <v>11</v>
      </c>
      <c r="H2" s="47" t="s">
        <v>17</v>
      </c>
      <c r="I2" s="47" t="s">
        <v>48</v>
      </c>
      <c r="J2" s="47" t="s">
        <v>22</v>
      </c>
      <c r="K2" s="9"/>
      <c r="L2" s="9"/>
    </row>
    <row r="3" spans="1:12" ht="15" thickBot="1">
      <c r="A3" s="24" t="s">
        <v>11</v>
      </c>
      <c r="B3" s="21" t="s">
        <v>13</v>
      </c>
      <c r="C3" s="49" t="str">
        <f>IF(Table22[[#This Row],[Region]]= " ",$F$1,Table22[[#This Row],[Category]])</f>
        <v>Beverages</v>
      </c>
      <c r="D3" s="49" t="str">
        <f>IF(Table22[[#This Row],[Region]]=" ",$F$1,Table22[[#This Row],[Region]])</f>
        <v>East</v>
      </c>
      <c r="G3" s="9">
        <f>COUNTIF(Table22[Region],"East")</f>
        <v>91</v>
      </c>
      <c r="H3" s="9">
        <f>COUNTIF(Table22[Region],"West")</f>
        <v>96</v>
      </c>
      <c r="I3" s="9">
        <f>COUNTIF(Table22[Region],"South")</f>
        <v>75</v>
      </c>
      <c r="J3" s="9">
        <f>COUNTIF(Table22[Region],"North")</f>
        <v>78</v>
      </c>
      <c r="K3" s="9"/>
      <c r="L3" s="9"/>
    </row>
    <row r="4" spans="1:12" ht="15" thickBot="1">
      <c r="A4" s="25" t="s">
        <v>17</v>
      </c>
      <c r="B4" s="12" t="s">
        <v>19</v>
      </c>
      <c r="C4" s="50" t="str">
        <f>IF(Table22[[#This Row],[Region]]= " ",$F$1,Table22[[#This Row],[Category]])</f>
        <v>Food</v>
      </c>
      <c r="D4" s="50" t="str">
        <f>IF(Table22[[#This Row],[Region]]=" ",$F$1,Table22[[#This Row],[Region]])</f>
        <v>West</v>
      </c>
      <c r="G4" s="9"/>
      <c r="H4" s="9"/>
      <c r="I4" s="9"/>
      <c r="J4" s="9"/>
      <c r="K4" s="9"/>
      <c r="L4" s="9"/>
    </row>
    <row r="5" spans="1:12" ht="15" thickBot="1">
      <c r="A5" s="24" t="s">
        <v>22</v>
      </c>
      <c r="B5" s="21" t="s">
        <v>23</v>
      </c>
      <c r="C5" s="49" t="str">
        <f>IF(Table22[[#This Row],[Region]]= " ",$F$1,Table22[[#This Row],[Category]])</f>
        <v>Clothing</v>
      </c>
      <c r="D5" s="49" t="str">
        <f>IF(Table22[[#This Row],[Region]]=" ",$F$1,Table22[[#This Row],[Region]])</f>
        <v>North</v>
      </c>
      <c r="F5" s="48" t="s">
        <v>453</v>
      </c>
    </row>
    <row r="6" spans="1:12" ht="15" thickBot="1">
      <c r="A6" s="25" t="s">
        <v>11</v>
      </c>
      <c r="B6" s="12" t="s">
        <v>27</v>
      </c>
      <c r="C6" s="50" t="str">
        <f>IF(Table22[[#This Row],[Region]]= " ",$F$1,Table22[[#This Row],[Category]])</f>
        <v>Furniture</v>
      </c>
      <c r="D6" s="50" t="str">
        <f>IF(Table22[[#This Row],[Region]]=" ",$F$1,Table22[[#This Row],[Region]])</f>
        <v>East</v>
      </c>
      <c r="G6" s="47" t="s">
        <v>13</v>
      </c>
      <c r="H6" s="47" t="s">
        <v>19</v>
      </c>
      <c r="I6" s="47" t="s">
        <v>23</v>
      </c>
      <c r="J6" s="47" t="s">
        <v>454</v>
      </c>
      <c r="K6" s="47" t="s">
        <v>42</v>
      </c>
    </row>
    <row r="7" spans="1:12" ht="15" thickBot="1">
      <c r="A7" s="24" t="s">
        <v>11</v>
      </c>
      <c r="B7" s="21" t="s">
        <v>27</v>
      </c>
      <c r="C7" s="49" t="str">
        <f>IF(Table22[[#This Row],[Region]]= " ",$F$1,Table22[[#This Row],[Category]])</f>
        <v>Furniture</v>
      </c>
      <c r="D7" s="49" t="str">
        <f>IF(Table22[[#This Row],[Region]]=" ",$F$1,Table22[[#This Row],[Region]])</f>
        <v>East</v>
      </c>
      <c r="G7" s="9">
        <f>COUNTIF(Table22[Category],"Beverages")</f>
        <v>73</v>
      </c>
      <c r="H7" s="9">
        <f>COUNTIF(Table22[Category],"Food")</f>
        <v>61</v>
      </c>
      <c r="I7" s="9">
        <f>COUNTIF(Table22[Category],"Clothing")</f>
        <v>67</v>
      </c>
      <c r="J7" s="9">
        <f>COUNTIF(Table22[Category],"Furniture")</f>
        <v>69</v>
      </c>
      <c r="K7" s="9">
        <f>COUNTIF(B4:B352,"Electronics")</f>
        <v>70</v>
      </c>
    </row>
    <row r="8" spans="1:12" ht="15" thickBot="1">
      <c r="A8" s="25" t="s">
        <v>17</v>
      </c>
      <c r="B8" s="12" t="s">
        <v>23</v>
      </c>
      <c r="C8" s="50" t="str">
        <f>IF(Table22[[#This Row],[Region]]= " ",$F$1,Table22[[#This Row],[Category]])</f>
        <v>Clothing</v>
      </c>
      <c r="D8" s="50" t="str">
        <f>IF(Table22[[#This Row],[Region]]=" ",$F$1,Table22[[#This Row],[Region]])</f>
        <v>West</v>
      </c>
      <c r="G8" s="9"/>
      <c r="H8" s="9"/>
      <c r="I8" s="9"/>
      <c r="J8" s="9"/>
      <c r="K8" s="9"/>
    </row>
    <row r="9" spans="1:12" ht="15" thickBot="1">
      <c r="A9" s="24" t="s">
        <v>22</v>
      </c>
      <c r="B9" s="21" t="s">
        <v>23</v>
      </c>
      <c r="C9" s="49" t="str">
        <f>IF(Table22[[#This Row],[Region]]= " ",$F$1,Table22[[#This Row],[Category]])</f>
        <v>Clothing</v>
      </c>
      <c r="D9" s="49" t="str">
        <f>IF(Table22[[#This Row],[Region]]=" ",$F$1,Table22[[#This Row],[Region]])</f>
        <v>North</v>
      </c>
    </row>
    <row r="10" spans="1:12" ht="15" thickBot="1">
      <c r="A10" s="25" t="s">
        <v>22</v>
      </c>
      <c r="B10" s="12" t="s">
        <v>13</v>
      </c>
      <c r="C10" s="50" t="str">
        <f>IF(Table22[[#This Row],[Region]]= " ",$F$1,Table22[[#This Row],[Category]])</f>
        <v>Beverages</v>
      </c>
      <c r="D10" s="50" t="str">
        <f>IF(Table22[[#This Row],[Region]]=" ",$F$1,Table22[[#This Row],[Region]])</f>
        <v>North</v>
      </c>
    </row>
    <row r="11" spans="1:12" ht="15" thickBot="1">
      <c r="A11" s="24" t="s">
        <v>11</v>
      </c>
      <c r="B11" s="21" t="s">
        <v>13</v>
      </c>
      <c r="C11" s="49" t="str">
        <f>IF(Table22[[#This Row],[Region]]= " ",$F$1,Table22[[#This Row],[Category]])</f>
        <v>Beverages</v>
      </c>
      <c r="D11" s="49" t="str">
        <f>IF(Table22[[#This Row],[Region]]=" ",$F$1,Table22[[#This Row],[Region]])</f>
        <v>East</v>
      </c>
    </row>
    <row r="12" spans="1:12" ht="15" thickBot="1">
      <c r="A12" s="25"/>
      <c r="B12" s="12" t="s">
        <v>27</v>
      </c>
      <c r="C12" s="50" t="str">
        <f>IF(Table22[[#This Row],[Region]]= " ",$F$1,Table22[[#This Row],[Category]])</f>
        <v>Furniture</v>
      </c>
      <c r="D12" s="50">
        <f>IF(Table22[[#This Row],[Region]]=" ",$F$1,Table22[[#This Row],[Region]])</f>
        <v>0</v>
      </c>
    </row>
    <row r="13" spans="1:12" ht="15" thickBot="1">
      <c r="A13" s="24" t="s">
        <v>11</v>
      </c>
      <c r="B13" s="21" t="s">
        <v>19</v>
      </c>
      <c r="C13" s="49" t="str">
        <f>IF(Table22[[#This Row],[Region]]= " ",$F$1,Table22[[#This Row],[Category]])</f>
        <v>Food</v>
      </c>
      <c r="D13" s="49" t="str">
        <f>IF(Table22[[#This Row],[Region]]=" ",$F$1,Table22[[#This Row],[Region]])</f>
        <v>East</v>
      </c>
    </row>
    <row r="14" spans="1:12" ht="15" thickBot="1">
      <c r="A14" s="25" t="s">
        <v>11</v>
      </c>
      <c r="B14" s="12" t="s">
        <v>27</v>
      </c>
      <c r="C14" s="50" t="str">
        <f>IF(Table22[[#This Row],[Region]]= " ",$F$1,Table22[[#This Row],[Category]])</f>
        <v>Furniture</v>
      </c>
      <c r="D14" s="50" t="str">
        <f>IF(Table22[[#This Row],[Region]]=" ",$F$1,Table22[[#This Row],[Region]])</f>
        <v>East</v>
      </c>
    </row>
    <row r="15" spans="1:12" ht="15" thickBot="1">
      <c r="A15" s="24" t="s">
        <v>11</v>
      </c>
      <c r="B15" s="21" t="s">
        <v>19</v>
      </c>
      <c r="C15" s="49" t="str">
        <f>IF(Table22[[#This Row],[Region]]= " ",$F$1,Table22[[#This Row],[Category]])</f>
        <v>Food</v>
      </c>
      <c r="D15" s="49" t="str">
        <f>IF(Table22[[#This Row],[Region]]=" ",$F$1,Table22[[#This Row],[Region]])</f>
        <v>East</v>
      </c>
    </row>
    <row r="16" spans="1:12" ht="15" thickBot="1">
      <c r="A16" s="25" t="s">
        <v>11</v>
      </c>
      <c r="B16" s="12" t="s">
        <v>19</v>
      </c>
      <c r="C16" s="50" t="str">
        <f>IF(Table22[[#This Row],[Region]]= " ",$F$1,Table22[[#This Row],[Category]])</f>
        <v>Food</v>
      </c>
      <c r="D16" s="50" t="str">
        <f>IF(Table22[[#This Row],[Region]]=" ",$F$1,Table22[[#This Row],[Region]])</f>
        <v>East</v>
      </c>
    </row>
    <row r="17" spans="1:4" ht="15" thickBot="1">
      <c r="A17" s="24" t="s">
        <v>17</v>
      </c>
      <c r="B17" s="21" t="s">
        <v>13</v>
      </c>
      <c r="C17" s="49" t="str">
        <f>IF(Table22[[#This Row],[Region]]= " ",$F$1,Table22[[#This Row],[Category]])</f>
        <v>Beverages</v>
      </c>
      <c r="D17" s="49" t="str">
        <f>IF(Table22[[#This Row],[Region]]=" ",$F$1,Table22[[#This Row],[Region]])</f>
        <v>West</v>
      </c>
    </row>
    <row r="18" spans="1:4" ht="15" thickBot="1">
      <c r="A18" s="25" t="s">
        <v>22</v>
      </c>
      <c r="B18" s="12" t="s">
        <v>42</v>
      </c>
      <c r="C18" s="50" t="str">
        <f>IF(Table22[[#This Row],[Region]]= " ",$F$1,Table22[[#This Row],[Category]])</f>
        <v>Electronics</v>
      </c>
      <c r="D18" s="50" t="str">
        <f>IF(Table22[[#This Row],[Region]]=" ",$F$1,Table22[[#This Row],[Region]])</f>
        <v>North</v>
      </c>
    </row>
    <row r="19" spans="1:4" ht="15" thickBot="1">
      <c r="A19" s="24" t="s">
        <v>17</v>
      </c>
      <c r="B19" s="21" t="s">
        <v>42</v>
      </c>
      <c r="C19" s="49" t="str">
        <f>IF(Table22[[#This Row],[Region]]= " ",$F$1,Table22[[#This Row],[Category]])</f>
        <v>Electronics</v>
      </c>
      <c r="D19" s="49" t="str">
        <f>IF(Table22[[#This Row],[Region]]=" ",$F$1,Table22[[#This Row],[Region]])</f>
        <v>West</v>
      </c>
    </row>
    <row r="20" spans="1:4" ht="15" thickBot="1">
      <c r="A20" s="25"/>
      <c r="B20" s="12" t="s">
        <v>23</v>
      </c>
      <c r="C20" s="50" t="str">
        <f>IF(Table22[[#This Row],[Region]]= " ",$F$1,Table22[[#This Row],[Category]])</f>
        <v>Clothing</v>
      </c>
      <c r="D20" s="50">
        <f>IF(Table22[[#This Row],[Region]]=" ",$F$1,Table22[[#This Row],[Region]])</f>
        <v>0</v>
      </c>
    </row>
    <row r="21" spans="1:4" ht="15" thickBot="1">
      <c r="A21" s="24" t="s">
        <v>17</v>
      </c>
      <c r="B21" s="21" t="s">
        <v>13</v>
      </c>
      <c r="C21" s="49" t="str">
        <f>IF(Table22[[#This Row],[Region]]= " ",$F$1,Table22[[#This Row],[Category]])</f>
        <v>Beverages</v>
      </c>
      <c r="D21" s="49" t="str">
        <f>IF(Table22[[#This Row],[Region]]=" ",$F$1,Table22[[#This Row],[Region]])</f>
        <v>West</v>
      </c>
    </row>
    <row r="22" spans="1:4" ht="15" thickBot="1">
      <c r="A22" s="25" t="s">
        <v>11</v>
      </c>
      <c r="B22" s="12" t="s">
        <v>19</v>
      </c>
      <c r="C22" s="50" t="str">
        <f>IF(Table22[[#This Row],[Region]]= " ",$F$1,Table22[[#This Row],[Category]])</f>
        <v>Food</v>
      </c>
      <c r="D22" s="50" t="str">
        <f>IF(Table22[[#This Row],[Region]]=" ",$F$1,Table22[[#This Row],[Region]])</f>
        <v>East</v>
      </c>
    </row>
    <row r="23" spans="1:4" ht="15" thickBot="1">
      <c r="A23" s="24" t="s">
        <v>48</v>
      </c>
      <c r="B23" s="21" t="s">
        <v>42</v>
      </c>
      <c r="C23" s="49" t="str">
        <f>IF(Table22[[#This Row],[Region]]= " ",$F$1,Table22[[#This Row],[Category]])</f>
        <v>Electronics</v>
      </c>
      <c r="D23" s="49" t="str">
        <f>IF(Table22[[#This Row],[Region]]=" ",$F$1,Table22[[#This Row],[Region]])</f>
        <v>South</v>
      </c>
    </row>
    <row r="24" spans="1:4" ht="15" thickBot="1">
      <c r="A24" s="25" t="s">
        <v>22</v>
      </c>
      <c r="B24" s="12" t="s">
        <v>19</v>
      </c>
      <c r="C24" s="50" t="str">
        <f>IF(Table22[[#This Row],[Region]]= " ",$F$1,Table22[[#This Row],[Category]])</f>
        <v>Food</v>
      </c>
      <c r="D24" s="50" t="str">
        <f>IF(Table22[[#This Row],[Region]]=" ",$F$1,Table22[[#This Row],[Region]])</f>
        <v>North</v>
      </c>
    </row>
    <row r="25" spans="1:4" ht="15" thickBot="1">
      <c r="A25" s="24" t="s">
        <v>48</v>
      </c>
      <c r="B25" s="21" t="s">
        <v>42</v>
      </c>
      <c r="C25" s="49" t="str">
        <f>IF(Table22[[#This Row],[Region]]= " ",$F$1,Table22[[#This Row],[Category]])</f>
        <v>Electronics</v>
      </c>
      <c r="D25" s="49" t="str">
        <f>IF(Table22[[#This Row],[Region]]=" ",$F$1,Table22[[#This Row],[Region]])</f>
        <v>South</v>
      </c>
    </row>
    <row r="26" spans="1:4" ht="15" thickBot="1">
      <c r="A26" s="25" t="s">
        <v>17</v>
      </c>
      <c r="B26" s="12" t="s">
        <v>42</v>
      </c>
      <c r="C26" s="50" t="str">
        <f>IF(Table22[[#This Row],[Region]]= " ",$F$1,Table22[[#This Row],[Category]])</f>
        <v>Electronics</v>
      </c>
      <c r="D26" s="50" t="str">
        <f>IF(Table22[[#This Row],[Region]]=" ",$F$1,Table22[[#This Row],[Region]])</f>
        <v>West</v>
      </c>
    </row>
    <row r="27" spans="1:4" ht="15" thickBot="1">
      <c r="A27" s="24" t="s">
        <v>17</v>
      </c>
      <c r="B27" s="21"/>
      <c r="C27" s="49">
        <f>IF(Table22[[#This Row],[Region]]= " ",$F$1,Table22[[#This Row],[Category]])</f>
        <v>0</v>
      </c>
      <c r="D27" s="49" t="str">
        <f>IF(Table22[[#This Row],[Region]]=" ",$F$1,Table22[[#This Row],[Region]])</f>
        <v>West</v>
      </c>
    </row>
    <row r="28" spans="1:4" ht="15" thickBot="1">
      <c r="A28" s="25" t="s">
        <v>48</v>
      </c>
      <c r="B28" s="12" t="s">
        <v>13</v>
      </c>
      <c r="C28" s="50" t="str">
        <f>IF(Table22[[#This Row],[Region]]= " ",$F$1,Table22[[#This Row],[Category]])</f>
        <v>Beverages</v>
      </c>
      <c r="D28" s="50" t="str">
        <f>IF(Table22[[#This Row],[Region]]=" ",$F$1,Table22[[#This Row],[Region]])</f>
        <v>South</v>
      </c>
    </row>
    <row r="29" spans="1:4" ht="15" thickBot="1">
      <c r="A29" s="24" t="s">
        <v>48</v>
      </c>
      <c r="B29" s="21" t="s">
        <v>27</v>
      </c>
      <c r="C29" s="49" t="str">
        <f>IF(Table22[[#This Row],[Region]]= " ",$F$1,Table22[[#This Row],[Category]])</f>
        <v>Furniture</v>
      </c>
      <c r="D29" s="49" t="str">
        <f>IF(Table22[[#This Row],[Region]]=" ",$F$1,Table22[[#This Row],[Region]])</f>
        <v>South</v>
      </c>
    </row>
    <row r="30" spans="1:4" ht="15" thickBot="1">
      <c r="A30" s="25" t="s">
        <v>48</v>
      </c>
      <c r="B30" s="12" t="s">
        <v>19</v>
      </c>
      <c r="C30" s="50" t="str">
        <f>IF(Table22[[#This Row],[Region]]= " ",$F$1,Table22[[#This Row],[Category]])</f>
        <v>Food</v>
      </c>
      <c r="D30" s="50" t="str">
        <f>IF(Table22[[#This Row],[Region]]=" ",$F$1,Table22[[#This Row],[Region]])</f>
        <v>South</v>
      </c>
    </row>
    <row r="31" spans="1:4" ht="15" thickBot="1">
      <c r="A31" s="24" t="s">
        <v>17</v>
      </c>
      <c r="B31" s="21" t="s">
        <v>13</v>
      </c>
      <c r="C31" s="49" t="str">
        <f>IF(Table22[[#This Row],[Region]]= " ",$F$1,Table22[[#This Row],[Category]])</f>
        <v>Beverages</v>
      </c>
      <c r="D31" s="49" t="str">
        <f>IF(Table22[[#This Row],[Region]]=" ",$F$1,Table22[[#This Row],[Region]])</f>
        <v>West</v>
      </c>
    </row>
    <row r="32" spans="1:4" ht="15" thickBot="1">
      <c r="A32" s="25" t="s">
        <v>17</v>
      </c>
      <c r="B32" s="12" t="s">
        <v>13</v>
      </c>
      <c r="C32" s="50" t="str">
        <f>IF(Table22[[#This Row],[Region]]= " ",$F$1,Table22[[#This Row],[Category]])</f>
        <v>Beverages</v>
      </c>
      <c r="D32" s="50" t="str">
        <f>IF(Table22[[#This Row],[Region]]=" ",$F$1,Table22[[#This Row],[Region]])</f>
        <v>West</v>
      </c>
    </row>
    <row r="33" spans="1:4" ht="15" thickBot="1">
      <c r="A33" s="24"/>
      <c r="B33" s="21" t="s">
        <v>13</v>
      </c>
      <c r="C33" s="49" t="str">
        <f>IF(Table22[[#This Row],[Region]]= " ",$F$1,Table22[[#This Row],[Category]])</f>
        <v>Beverages</v>
      </c>
      <c r="D33" s="49">
        <f>IF(Table22[[#This Row],[Region]]=" ",$F$1,Table22[[#This Row],[Region]])</f>
        <v>0</v>
      </c>
    </row>
    <row r="34" spans="1:4" ht="15" thickBot="1">
      <c r="A34" s="25" t="s">
        <v>22</v>
      </c>
      <c r="B34" s="12" t="s">
        <v>13</v>
      </c>
      <c r="C34" s="50" t="str">
        <f>IF(Table22[[#This Row],[Region]]= " ",$F$1,Table22[[#This Row],[Category]])</f>
        <v>Beverages</v>
      </c>
      <c r="D34" s="50" t="str">
        <f>IF(Table22[[#This Row],[Region]]=" ",$F$1,Table22[[#This Row],[Region]])</f>
        <v>North</v>
      </c>
    </row>
    <row r="35" spans="1:4" ht="15" thickBot="1">
      <c r="A35" s="24" t="s">
        <v>17</v>
      </c>
      <c r="B35" s="21" t="s">
        <v>13</v>
      </c>
      <c r="C35" s="49" t="str">
        <f>IF(Table22[[#This Row],[Region]]= " ",$F$1,Table22[[#This Row],[Category]])</f>
        <v>Beverages</v>
      </c>
      <c r="D35" s="49" t="str">
        <f>IF(Table22[[#This Row],[Region]]=" ",$F$1,Table22[[#This Row],[Region]])</f>
        <v>West</v>
      </c>
    </row>
    <row r="36" spans="1:4" ht="15" thickBot="1">
      <c r="A36" s="25" t="s">
        <v>48</v>
      </c>
      <c r="B36" s="12" t="s">
        <v>23</v>
      </c>
      <c r="C36" s="50" t="str">
        <f>IF(Table22[[#This Row],[Region]]= " ",$F$1,Table22[[#This Row],[Category]])</f>
        <v>Clothing</v>
      </c>
      <c r="D36" s="50" t="str">
        <f>IF(Table22[[#This Row],[Region]]=" ",$F$1,Table22[[#This Row],[Region]])</f>
        <v>South</v>
      </c>
    </row>
    <row r="37" spans="1:4" ht="15" thickBot="1">
      <c r="A37" s="24" t="s">
        <v>48</v>
      </c>
      <c r="B37" s="21" t="s">
        <v>19</v>
      </c>
      <c r="C37" s="49" t="str">
        <f>IF(Table22[[#This Row],[Region]]= " ",$F$1,Table22[[#This Row],[Category]])</f>
        <v>Food</v>
      </c>
      <c r="D37" s="49" t="str">
        <f>IF(Table22[[#This Row],[Region]]=" ",$F$1,Table22[[#This Row],[Region]])</f>
        <v>South</v>
      </c>
    </row>
    <row r="38" spans="1:4" ht="15" thickBot="1">
      <c r="A38" s="25" t="s">
        <v>22</v>
      </c>
      <c r="B38" s="12" t="s">
        <v>13</v>
      </c>
      <c r="C38" s="50" t="str">
        <f>IF(Table22[[#This Row],[Region]]= " ",$F$1,Table22[[#This Row],[Category]])</f>
        <v>Beverages</v>
      </c>
      <c r="D38" s="50" t="str">
        <f>IF(Table22[[#This Row],[Region]]=" ",$F$1,Table22[[#This Row],[Region]])</f>
        <v>North</v>
      </c>
    </row>
    <row r="39" spans="1:4" ht="15" thickBot="1">
      <c r="A39" s="24" t="s">
        <v>17</v>
      </c>
      <c r="B39" s="21" t="s">
        <v>19</v>
      </c>
      <c r="C39" s="49" t="str">
        <f>IF(Table22[[#This Row],[Region]]= " ",$F$1,Table22[[#This Row],[Category]])</f>
        <v>Food</v>
      </c>
      <c r="D39" s="49" t="str">
        <f>IF(Table22[[#This Row],[Region]]=" ",$F$1,Table22[[#This Row],[Region]])</f>
        <v>West</v>
      </c>
    </row>
    <row r="40" spans="1:4" ht="15" thickBot="1">
      <c r="A40" s="25" t="s">
        <v>22</v>
      </c>
      <c r="B40" s="12" t="s">
        <v>23</v>
      </c>
      <c r="C40" s="50" t="str">
        <f>IF(Table22[[#This Row],[Region]]= " ",$F$1,Table22[[#This Row],[Category]])</f>
        <v>Clothing</v>
      </c>
      <c r="D40" s="50" t="str">
        <f>IF(Table22[[#This Row],[Region]]=" ",$F$1,Table22[[#This Row],[Region]])</f>
        <v>North</v>
      </c>
    </row>
    <row r="41" spans="1:4" ht="15" thickBot="1">
      <c r="A41" s="24" t="s">
        <v>22</v>
      </c>
      <c r="B41" s="21" t="s">
        <v>23</v>
      </c>
      <c r="C41" s="49" t="str">
        <f>IF(Table22[[#This Row],[Region]]= " ",$F$1,Table22[[#This Row],[Category]])</f>
        <v>Clothing</v>
      </c>
      <c r="D41" s="49" t="str">
        <f>IF(Table22[[#This Row],[Region]]=" ",$F$1,Table22[[#This Row],[Region]])</f>
        <v>North</v>
      </c>
    </row>
    <row r="42" spans="1:4" ht="15" thickBot="1">
      <c r="A42" s="25" t="s">
        <v>11</v>
      </c>
      <c r="B42" s="12" t="s">
        <v>19</v>
      </c>
      <c r="C42" s="50" t="str">
        <f>IF(Table22[[#This Row],[Region]]= " ",$F$1,Table22[[#This Row],[Category]])</f>
        <v>Food</v>
      </c>
      <c r="D42" s="50" t="str">
        <f>IF(Table22[[#This Row],[Region]]=" ",$F$1,Table22[[#This Row],[Region]])</f>
        <v>East</v>
      </c>
    </row>
    <row r="43" spans="1:4" ht="15" thickBot="1">
      <c r="A43" s="24" t="s">
        <v>11</v>
      </c>
      <c r="B43" s="21" t="s">
        <v>42</v>
      </c>
      <c r="C43" s="49" t="str">
        <f>IF(Table22[[#This Row],[Region]]= " ",$F$1,Table22[[#This Row],[Category]])</f>
        <v>Electronics</v>
      </c>
      <c r="D43" s="49" t="str">
        <f>IF(Table22[[#This Row],[Region]]=" ",$F$1,Table22[[#This Row],[Region]])</f>
        <v>East</v>
      </c>
    </row>
    <row r="44" spans="1:4" ht="15" thickBot="1">
      <c r="A44" s="25" t="s">
        <v>11</v>
      </c>
      <c r="B44" s="12" t="s">
        <v>27</v>
      </c>
      <c r="C44" s="50" t="str">
        <f>IF(Table22[[#This Row],[Region]]= " ",$F$1,Table22[[#This Row],[Category]])</f>
        <v>Furniture</v>
      </c>
      <c r="D44" s="50" t="str">
        <f>IF(Table22[[#This Row],[Region]]=" ",$F$1,Table22[[#This Row],[Region]])</f>
        <v>East</v>
      </c>
    </row>
    <row r="45" spans="1:4" ht="15" thickBot="1">
      <c r="A45" s="24" t="s">
        <v>48</v>
      </c>
      <c r="B45" s="21" t="s">
        <v>42</v>
      </c>
      <c r="C45" s="49" t="str">
        <f>IF(Table22[[#This Row],[Region]]= " ",$F$1,Table22[[#This Row],[Category]])</f>
        <v>Electronics</v>
      </c>
      <c r="D45" s="49" t="str">
        <f>IF(Table22[[#This Row],[Region]]=" ",$F$1,Table22[[#This Row],[Region]])</f>
        <v>South</v>
      </c>
    </row>
    <row r="46" spans="1:4" ht="15" thickBot="1">
      <c r="A46" s="25" t="s">
        <v>17</v>
      </c>
      <c r="B46" s="12" t="s">
        <v>42</v>
      </c>
      <c r="C46" s="50" t="str">
        <f>IF(Table22[[#This Row],[Region]]= " ",$F$1,Table22[[#This Row],[Category]])</f>
        <v>Electronics</v>
      </c>
      <c r="D46" s="50" t="str">
        <f>IF(Table22[[#This Row],[Region]]=" ",$F$1,Table22[[#This Row],[Region]])</f>
        <v>West</v>
      </c>
    </row>
    <row r="47" spans="1:4" ht="15" thickBot="1">
      <c r="A47" s="24" t="s">
        <v>17</v>
      </c>
      <c r="B47" s="21" t="s">
        <v>42</v>
      </c>
      <c r="C47" s="49" t="str">
        <f>IF(Table22[[#This Row],[Region]]= " ",$F$1,Table22[[#This Row],[Category]])</f>
        <v>Electronics</v>
      </c>
      <c r="D47" s="49" t="str">
        <f>IF(Table22[[#This Row],[Region]]=" ",$F$1,Table22[[#This Row],[Region]])</f>
        <v>West</v>
      </c>
    </row>
    <row r="48" spans="1:4" ht="15" thickBot="1">
      <c r="A48" s="25" t="s">
        <v>17</v>
      </c>
      <c r="B48" s="12" t="s">
        <v>13</v>
      </c>
      <c r="C48" s="50" t="str">
        <f>IF(Table22[[#This Row],[Region]]= " ",$F$1,Table22[[#This Row],[Category]])</f>
        <v>Beverages</v>
      </c>
      <c r="D48" s="50" t="str">
        <f>IF(Table22[[#This Row],[Region]]=" ",$F$1,Table22[[#This Row],[Region]])</f>
        <v>West</v>
      </c>
    </row>
    <row r="49" spans="1:4" ht="15" thickBot="1">
      <c r="A49" s="24" t="s">
        <v>17</v>
      </c>
      <c r="B49" s="21" t="s">
        <v>23</v>
      </c>
      <c r="C49" s="49" t="str">
        <f>IF(Table22[[#This Row],[Region]]= " ",$F$1,Table22[[#This Row],[Category]])</f>
        <v>Clothing</v>
      </c>
      <c r="D49" s="49" t="str">
        <f>IF(Table22[[#This Row],[Region]]=" ",$F$1,Table22[[#This Row],[Region]])</f>
        <v>West</v>
      </c>
    </row>
    <row r="50" spans="1:4" ht="15" thickBot="1">
      <c r="A50" s="25" t="s">
        <v>11</v>
      </c>
      <c r="B50" s="12" t="s">
        <v>42</v>
      </c>
      <c r="C50" s="50" t="str">
        <f>IF(Table22[[#This Row],[Region]]= " ",$F$1,Table22[[#This Row],[Category]])</f>
        <v>Electronics</v>
      </c>
      <c r="D50" s="50" t="str">
        <f>IF(Table22[[#This Row],[Region]]=" ",$F$1,Table22[[#This Row],[Region]])</f>
        <v>East</v>
      </c>
    </row>
    <row r="51" spans="1:4" ht="15" thickBot="1">
      <c r="A51" s="24" t="s">
        <v>48</v>
      </c>
      <c r="B51" s="21" t="s">
        <v>23</v>
      </c>
      <c r="C51" s="49" t="str">
        <f>IF(Table22[[#This Row],[Region]]= " ",$F$1,Table22[[#This Row],[Category]])</f>
        <v>Clothing</v>
      </c>
      <c r="D51" s="49" t="str">
        <f>IF(Table22[[#This Row],[Region]]=" ",$F$1,Table22[[#This Row],[Region]])</f>
        <v>South</v>
      </c>
    </row>
    <row r="52" spans="1:4" ht="15" thickBot="1">
      <c r="A52" s="25"/>
      <c r="B52" s="12" t="s">
        <v>19</v>
      </c>
      <c r="C52" s="50" t="str">
        <f>IF(Table22[[#This Row],[Region]]= " ",$F$1,Table22[[#This Row],[Category]])</f>
        <v>Food</v>
      </c>
      <c r="D52" s="50">
        <f>IF(Table22[[#This Row],[Region]]=" ",$F$1,Table22[[#This Row],[Region]])</f>
        <v>0</v>
      </c>
    </row>
    <row r="53" spans="1:4" ht="15" thickBot="1">
      <c r="A53" s="24" t="s">
        <v>11</v>
      </c>
      <c r="B53" s="21" t="s">
        <v>27</v>
      </c>
      <c r="C53" s="49" t="str">
        <f>IF(Table22[[#This Row],[Region]]= " ",$F$1,Table22[[#This Row],[Category]])</f>
        <v>Furniture</v>
      </c>
      <c r="D53" s="49" t="str">
        <f>IF(Table22[[#This Row],[Region]]=" ",$F$1,Table22[[#This Row],[Region]])</f>
        <v>East</v>
      </c>
    </row>
    <row r="54" spans="1:4" ht="15" thickBot="1">
      <c r="A54" s="25" t="s">
        <v>48</v>
      </c>
      <c r="B54" s="12" t="s">
        <v>19</v>
      </c>
      <c r="C54" s="50" t="str">
        <f>IF(Table22[[#This Row],[Region]]= " ",$F$1,Table22[[#This Row],[Category]])</f>
        <v>Food</v>
      </c>
      <c r="D54" s="50" t="str">
        <f>IF(Table22[[#This Row],[Region]]=" ",$F$1,Table22[[#This Row],[Region]])</f>
        <v>South</v>
      </c>
    </row>
    <row r="55" spans="1:4" ht="15" thickBot="1">
      <c r="A55" s="24" t="s">
        <v>11</v>
      </c>
      <c r="B55" s="21" t="s">
        <v>19</v>
      </c>
      <c r="C55" s="49" t="str">
        <f>IF(Table22[[#This Row],[Region]]= " ",$F$1,Table22[[#This Row],[Category]])</f>
        <v>Food</v>
      </c>
      <c r="D55" s="49" t="str">
        <f>IF(Table22[[#This Row],[Region]]=" ",$F$1,Table22[[#This Row],[Region]])</f>
        <v>East</v>
      </c>
    </row>
    <row r="56" spans="1:4" ht="15" thickBot="1">
      <c r="A56" s="25" t="s">
        <v>17</v>
      </c>
      <c r="B56" s="12" t="s">
        <v>13</v>
      </c>
      <c r="C56" s="50" t="str">
        <f>IF(Table22[[#This Row],[Region]]= " ",$F$1,Table22[[#This Row],[Category]])</f>
        <v>Beverages</v>
      </c>
      <c r="D56" s="50" t="str">
        <f>IF(Table22[[#This Row],[Region]]=" ",$F$1,Table22[[#This Row],[Region]])</f>
        <v>West</v>
      </c>
    </row>
    <row r="57" spans="1:4" ht="15" thickBot="1">
      <c r="A57" s="24" t="s">
        <v>11</v>
      </c>
      <c r="B57" s="21" t="s">
        <v>27</v>
      </c>
      <c r="C57" s="49" t="str">
        <f>IF(Table22[[#This Row],[Region]]= " ",$F$1,Table22[[#This Row],[Category]])</f>
        <v>Furniture</v>
      </c>
      <c r="D57" s="49" t="str">
        <f>IF(Table22[[#This Row],[Region]]=" ",$F$1,Table22[[#This Row],[Region]])</f>
        <v>East</v>
      </c>
    </row>
    <row r="58" spans="1:4" ht="15" thickBot="1">
      <c r="A58" s="25" t="s">
        <v>17</v>
      </c>
      <c r="B58" s="12" t="s">
        <v>19</v>
      </c>
      <c r="C58" s="50" t="str">
        <f>IF(Table22[[#This Row],[Region]]= " ",$F$1,Table22[[#This Row],[Category]])</f>
        <v>Food</v>
      </c>
      <c r="D58" s="50" t="str">
        <f>IF(Table22[[#This Row],[Region]]=" ",$F$1,Table22[[#This Row],[Region]])</f>
        <v>West</v>
      </c>
    </row>
    <row r="59" spans="1:4" ht="15" thickBot="1">
      <c r="A59" s="24" t="s">
        <v>17</v>
      </c>
      <c r="B59" s="21" t="s">
        <v>19</v>
      </c>
      <c r="C59" s="49" t="str">
        <f>IF(Table22[[#This Row],[Region]]= " ",$F$1,Table22[[#This Row],[Category]])</f>
        <v>Food</v>
      </c>
      <c r="D59" s="49" t="str">
        <f>IF(Table22[[#This Row],[Region]]=" ",$F$1,Table22[[#This Row],[Region]])</f>
        <v>West</v>
      </c>
    </row>
    <row r="60" spans="1:4" ht="15" thickBot="1">
      <c r="A60" s="25" t="s">
        <v>22</v>
      </c>
      <c r="B60" s="12" t="s">
        <v>27</v>
      </c>
      <c r="C60" s="50" t="str">
        <f>IF(Table22[[#This Row],[Region]]= " ",$F$1,Table22[[#This Row],[Category]])</f>
        <v>Furniture</v>
      </c>
      <c r="D60" s="50" t="str">
        <f>IF(Table22[[#This Row],[Region]]=" ",$F$1,Table22[[#This Row],[Region]])</f>
        <v>North</v>
      </c>
    </row>
    <row r="61" spans="1:4" ht="15" thickBot="1">
      <c r="A61" s="24" t="s">
        <v>11</v>
      </c>
      <c r="B61" s="21" t="s">
        <v>27</v>
      </c>
      <c r="C61" s="49" t="str">
        <f>IF(Table22[[#This Row],[Region]]= " ",$F$1,Table22[[#This Row],[Category]])</f>
        <v>Furniture</v>
      </c>
      <c r="D61" s="49" t="str">
        <f>IF(Table22[[#This Row],[Region]]=" ",$F$1,Table22[[#This Row],[Region]])</f>
        <v>East</v>
      </c>
    </row>
    <row r="62" spans="1:4" ht="15" thickBot="1">
      <c r="A62" s="25" t="s">
        <v>22</v>
      </c>
      <c r="B62" s="12" t="s">
        <v>19</v>
      </c>
      <c r="C62" s="50" t="str">
        <f>IF(Table22[[#This Row],[Region]]= " ",$F$1,Table22[[#This Row],[Category]])</f>
        <v>Food</v>
      </c>
      <c r="D62" s="50" t="str">
        <f>IF(Table22[[#This Row],[Region]]=" ",$F$1,Table22[[#This Row],[Region]])</f>
        <v>North</v>
      </c>
    </row>
    <row r="63" spans="1:4" ht="15" thickBot="1">
      <c r="A63" s="24" t="s">
        <v>11</v>
      </c>
      <c r="B63" s="21" t="s">
        <v>27</v>
      </c>
      <c r="C63" s="49" t="str">
        <f>IF(Table22[[#This Row],[Region]]= " ",$F$1,Table22[[#This Row],[Category]])</f>
        <v>Furniture</v>
      </c>
      <c r="D63" s="49" t="str">
        <f>IF(Table22[[#This Row],[Region]]=" ",$F$1,Table22[[#This Row],[Region]])</f>
        <v>East</v>
      </c>
    </row>
    <row r="64" spans="1:4" ht="15" thickBot="1">
      <c r="A64" s="25" t="s">
        <v>11</v>
      </c>
      <c r="B64" s="12" t="s">
        <v>19</v>
      </c>
      <c r="C64" s="50" t="str">
        <f>IF(Table22[[#This Row],[Region]]= " ",$F$1,Table22[[#This Row],[Category]])</f>
        <v>Food</v>
      </c>
      <c r="D64" s="50" t="str">
        <f>IF(Table22[[#This Row],[Region]]=" ",$F$1,Table22[[#This Row],[Region]])</f>
        <v>East</v>
      </c>
    </row>
    <row r="65" spans="1:4" ht="15" thickBot="1">
      <c r="A65" s="24" t="s">
        <v>22</v>
      </c>
      <c r="B65" s="21" t="s">
        <v>19</v>
      </c>
      <c r="C65" s="49" t="str">
        <f>IF(Table22[[#This Row],[Region]]= " ",$F$1,Table22[[#This Row],[Category]])</f>
        <v>Food</v>
      </c>
      <c r="D65" s="49" t="str">
        <f>IF(Table22[[#This Row],[Region]]=" ",$F$1,Table22[[#This Row],[Region]])</f>
        <v>North</v>
      </c>
    </row>
    <row r="66" spans="1:4" ht="15" thickBot="1">
      <c r="A66" s="25"/>
      <c r="B66" s="12" t="s">
        <v>13</v>
      </c>
      <c r="C66" s="50" t="str">
        <f>IF(Table22[[#This Row],[Region]]= " ",$F$1,Table22[[#This Row],[Category]])</f>
        <v>Beverages</v>
      </c>
      <c r="D66" s="50">
        <f>IF(Table22[[#This Row],[Region]]=" ",$F$1,Table22[[#This Row],[Region]])</f>
        <v>0</v>
      </c>
    </row>
    <row r="67" spans="1:4" ht="15" thickBot="1">
      <c r="A67" s="24" t="s">
        <v>11</v>
      </c>
      <c r="B67" s="21" t="s">
        <v>42</v>
      </c>
      <c r="C67" s="49" t="str">
        <f>IF(Table22[[#This Row],[Region]]= " ",$F$1,Table22[[#This Row],[Category]])</f>
        <v>Electronics</v>
      </c>
      <c r="D67" s="49" t="str">
        <f>IF(Table22[[#This Row],[Region]]=" ",$F$1,Table22[[#This Row],[Region]])</f>
        <v>East</v>
      </c>
    </row>
    <row r="68" spans="1:4" ht="15" thickBot="1">
      <c r="A68" s="25" t="s">
        <v>48</v>
      </c>
      <c r="B68" s="12" t="s">
        <v>19</v>
      </c>
      <c r="C68" s="50" t="str">
        <f>IF(Table22[[#This Row],[Region]]= " ",$F$1,Table22[[#This Row],[Category]])</f>
        <v>Food</v>
      </c>
      <c r="D68" s="50" t="str">
        <f>IF(Table22[[#This Row],[Region]]=" ",$F$1,Table22[[#This Row],[Region]])</f>
        <v>South</v>
      </c>
    </row>
    <row r="69" spans="1:4" ht="15" thickBot="1">
      <c r="A69" s="24" t="s">
        <v>17</v>
      </c>
      <c r="B69" s="21" t="s">
        <v>23</v>
      </c>
      <c r="C69" s="49" t="str">
        <f>IF(Table22[[#This Row],[Region]]= " ",$F$1,Table22[[#This Row],[Category]])</f>
        <v>Clothing</v>
      </c>
      <c r="D69" s="49" t="str">
        <f>IF(Table22[[#This Row],[Region]]=" ",$F$1,Table22[[#This Row],[Region]])</f>
        <v>West</v>
      </c>
    </row>
    <row r="70" spans="1:4" ht="15" thickBot="1">
      <c r="A70" s="25" t="s">
        <v>22</v>
      </c>
      <c r="B70" s="12" t="s">
        <v>42</v>
      </c>
      <c r="C70" s="50" t="str">
        <f>IF(Table22[[#This Row],[Region]]= " ",$F$1,Table22[[#This Row],[Category]])</f>
        <v>Electronics</v>
      </c>
      <c r="D70" s="50" t="str">
        <f>IF(Table22[[#This Row],[Region]]=" ",$F$1,Table22[[#This Row],[Region]])</f>
        <v>North</v>
      </c>
    </row>
    <row r="71" spans="1:4" ht="15" thickBot="1">
      <c r="A71" s="24" t="s">
        <v>17</v>
      </c>
      <c r="B71" s="21" t="s">
        <v>42</v>
      </c>
      <c r="C71" s="49" t="str">
        <f>IF(Table22[[#This Row],[Region]]= " ",$F$1,Table22[[#This Row],[Category]])</f>
        <v>Electronics</v>
      </c>
      <c r="D71" s="49" t="str">
        <f>IF(Table22[[#This Row],[Region]]=" ",$F$1,Table22[[#This Row],[Region]])</f>
        <v>West</v>
      </c>
    </row>
    <row r="72" spans="1:4" ht="15" thickBot="1">
      <c r="A72" s="25" t="s">
        <v>48</v>
      </c>
      <c r="B72" s="12" t="s">
        <v>42</v>
      </c>
      <c r="C72" s="50" t="str">
        <f>IF(Table22[[#This Row],[Region]]= " ",$F$1,Table22[[#This Row],[Category]])</f>
        <v>Electronics</v>
      </c>
      <c r="D72" s="50" t="str">
        <f>IF(Table22[[#This Row],[Region]]=" ",$F$1,Table22[[#This Row],[Region]])</f>
        <v>South</v>
      </c>
    </row>
    <row r="73" spans="1:4" ht="15" thickBot="1">
      <c r="A73" s="24" t="s">
        <v>48</v>
      </c>
      <c r="B73" s="21" t="s">
        <v>13</v>
      </c>
      <c r="C73" s="49" t="str">
        <f>IF(Table22[[#This Row],[Region]]= " ",$F$1,Table22[[#This Row],[Category]])</f>
        <v>Beverages</v>
      </c>
      <c r="D73" s="49" t="str">
        <f>IF(Table22[[#This Row],[Region]]=" ",$F$1,Table22[[#This Row],[Region]])</f>
        <v>South</v>
      </c>
    </row>
    <row r="74" spans="1:4" ht="15" thickBot="1">
      <c r="A74" s="25" t="s">
        <v>48</v>
      </c>
      <c r="B74" s="12" t="s">
        <v>19</v>
      </c>
      <c r="C74" s="50" t="str">
        <f>IF(Table22[[#This Row],[Region]]= " ",$F$1,Table22[[#This Row],[Category]])</f>
        <v>Food</v>
      </c>
      <c r="D74" s="50" t="str">
        <f>IF(Table22[[#This Row],[Region]]=" ",$F$1,Table22[[#This Row],[Region]])</f>
        <v>South</v>
      </c>
    </row>
    <row r="75" spans="1:4" ht="15" thickBot="1">
      <c r="A75" s="24" t="s">
        <v>22</v>
      </c>
      <c r="B75" s="21" t="s">
        <v>13</v>
      </c>
      <c r="C75" s="49" t="str">
        <f>IF(Table22[[#This Row],[Region]]= " ",$F$1,Table22[[#This Row],[Category]])</f>
        <v>Beverages</v>
      </c>
      <c r="D75" s="49" t="str">
        <f>IF(Table22[[#This Row],[Region]]=" ",$F$1,Table22[[#This Row],[Region]])</f>
        <v>North</v>
      </c>
    </row>
    <row r="76" spans="1:4" ht="15" thickBot="1">
      <c r="A76" s="25" t="s">
        <v>48</v>
      </c>
      <c r="B76" s="12" t="s">
        <v>19</v>
      </c>
      <c r="C76" s="50" t="str">
        <f>IF(Table22[[#This Row],[Region]]= " ",$F$1,Table22[[#This Row],[Category]])</f>
        <v>Food</v>
      </c>
      <c r="D76" s="50" t="str">
        <f>IF(Table22[[#This Row],[Region]]=" ",$F$1,Table22[[#This Row],[Region]])</f>
        <v>South</v>
      </c>
    </row>
    <row r="77" spans="1:4" ht="15" thickBot="1">
      <c r="A77" s="24" t="s">
        <v>22</v>
      </c>
      <c r="B77" s="21" t="s">
        <v>13</v>
      </c>
      <c r="C77" s="49" t="str">
        <f>IF(Table22[[#This Row],[Region]]= " ",$F$1,Table22[[#This Row],[Category]])</f>
        <v>Beverages</v>
      </c>
      <c r="D77" s="49" t="str">
        <f>IF(Table22[[#This Row],[Region]]=" ",$F$1,Table22[[#This Row],[Region]])</f>
        <v>North</v>
      </c>
    </row>
    <row r="78" spans="1:4" ht="15" thickBot="1">
      <c r="A78" s="25" t="s">
        <v>48</v>
      </c>
      <c r="B78" s="12" t="s">
        <v>13</v>
      </c>
      <c r="C78" s="50" t="str">
        <f>IF(Table22[[#This Row],[Region]]= " ",$F$1,Table22[[#This Row],[Category]])</f>
        <v>Beverages</v>
      </c>
      <c r="D78" s="50" t="str">
        <f>IF(Table22[[#This Row],[Region]]=" ",$F$1,Table22[[#This Row],[Region]])</f>
        <v>South</v>
      </c>
    </row>
    <row r="79" spans="1:4" ht="15" thickBot="1">
      <c r="A79" s="24" t="s">
        <v>17</v>
      </c>
      <c r="B79" s="21" t="s">
        <v>23</v>
      </c>
      <c r="C79" s="49" t="str">
        <f>IF(Table22[[#This Row],[Region]]= " ",$F$1,Table22[[#This Row],[Category]])</f>
        <v>Clothing</v>
      </c>
      <c r="D79" s="49" t="str">
        <f>IF(Table22[[#This Row],[Region]]=" ",$F$1,Table22[[#This Row],[Region]])</f>
        <v>West</v>
      </c>
    </row>
    <row r="80" spans="1:4" ht="15" thickBot="1">
      <c r="A80" s="25" t="s">
        <v>17</v>
      </c>
      <c r="B80" s="12" t="s">
        <v>13</v>
      </c>
      <c r="C80" s="50" t="str">
        <f>IF(Table22[[#This Row],[Region]]= " ",$F$1,Table22[[#This Row],[Category]])</f>
        <v>Beverages</v>
      </c>
      <c r="D80" s="50" t="str">
        <f>IF(Table22[[#This Row],[Region]]=" ",$F$1,Table22[[#This Row],[Region]])</f>
        <v>West</v>
      </c>
    </row>
    <row r="81" spans="1:4" ht="15" thickBot="1">
      <c r="A81" s="24" t="s">
        <v>11</v>
      </c>
      <c r="B81" s="21" t="s">
        <v>27</v>
      </c>
      <c r="C81" s="49" t="str">
        <f>IF(Table22[[#This Row],[Region]]= " ",$F$1,Table22[[#This Row],[Category]])</f>
        <v>Furniture</v>
      </c>
      <c r="D81" s="49" t="str">
        <f>IF(Table22[[#This Row],[Region]]=" ",$F$1,Table22[[#This Row],[Region]])</f>
        <v>East</v>
      </c>
    </row>
    <row r="82" spans="1:4" ht="15" thickBot="1">
      <c r="A82" s="25" t="s">
        <v>17</v>
      </c>
      <c r="B82" s="12" t="s">
        <v>23</v>
      </c>
      <c r="C82" s="50" t="str">
        <f>IF(Table22[[#This Row],[Region]]= " ",$F$1,Table22[[#This Row],[Category]])</f>
        <v>Clothing</v>
      </c>
      <c r="D82" s="50" t="str">
        <f>IF(Table22[[#This Row],[Region]]=" ",$F$1,Table22[[#This Row],[Region]])</f>
        <v>West</v>
      </c>
    </row>
    <row r="83" spans="1:4" ht="15" thickBot="1">
      <c r="A83" s="24" t="s">
        <v>11</v>
      </c>
      <c r="B83" s="21" t="s">
        <v>13</v>
      </c>
      <c r="C83" s="49" t="str">
        <f>IF(Table22[[#This Row],[Region]]= " ",$F$1,Table22[[#This Row],[Category]])</f>
        <v>Beverages</v>
      </c>
      <c r="D83" s="49" t="str">
        <f>IF(Table22[[#This Row],[Region]]=" ",$F$1,Table22[[#This Row],[Region]])</f>
        <v>East</v>
      </c>
    </row>
    <row r="84" spans="1:4" ht="15" thickBot="1">
      <c r="A84" s="25" t="s">
        <v>17</v>
      </c>
      <c r="B84" s="12" t="s">
        <v>42</v>
      </c>
      <c r="C84" s="50" t="str">
        <f>IF(Table22[[#This Row],[Region]]= " ",$F$1,Table22[[#This Row],[Category]])</f>
        <v>Electronics</v>
      </c>
      <c r="D84" s="50" t="str">
        <f>IF(Table22[[#This Row],[Region]]=" ",$F$1,Table22[[#This Row],[Region]])</f>
        <v>West</v>
      </c>
    </row>
    <row r="85" spans="1:4" ht="15" thickBot="1">
      <c r="A85" s="24" t="s">
        <v>22</v>
      </c>
      <c r="B85" s="21" t="s">
        <v>27</v>
      </c>
      <c r="C85" s="49" t="str">
        <f>IF(Table22[[#This Row],[Region]]= " ",$F$1,Table22[[#This Row],[Category]])</f>
        <v>Furniture</v>
      </c>
      <c r="D85" s="49" t="str">
        <f>IF(Table22[[#This Row],[Region]]=" ",$F$1,Table22[[#This Row],[Region]])</f>
        <v>North</v>
      </c>
    </row>
    <row r="86" spans="1:4" ht="15" thickBot="1">
      <c r="A86" s="25" t="s">
        <v>17</v>
      </c>
      <c r="B86" s="12" t="s">
        <v>27</v>
      </c>
      <c r="C86" s="50" t="str">
        <f>IF(Table22[[#This Row],[Region]]= " ",$F$1,Table22[[#This Row],[Category]])</f>
        <v>Furniture</v>
      </c>
      <c r="D86" s="50" t="str">
        <f>IF(Table22[[#This Row],[Region]]=" ",$F$1,Table22[[#This Row],[Region]])</f>
        <v>West</v>
      </c>
    </row>
    <row r="87" spans="1:4" ht="15" thickBot="1">
      <c r="A87" s="24" t="s">
        <v>11</v>
      </c>
      <c r="B87" s="21" t="s">
        <v>27</v>
      </c>
      <c r="C87" s="49" t="str">
        <f>IF(Table22[[#This Row],[Region]]= " ",$F$1,Table22[[#This Row],[Category]])</f>
        <v>Furniture</v>
      </c>
      <c r="D87" s="49" t="str">
        <f>IF(Table22[[#This Row],[Region]]=" ",$F$1,Table22[[#This Row],[Region]])</f>
        <v>East</v>
      </c>
    </row>
    <row r="88" spans="1:4" ht="15" thickBot="1">
      <c r="A88" s="25" t="s">
        <v>11</v>
      </c>
      <c r="B88" s="12" t="s">
        <v>23</v>
      </c>
      <c r="C88" s="50" t="str">
        <f>IF(Table22[[#This Row],[Region]]= " ",$F$1,Table22[[#This Row],[Category]])</f>
        <v>Clothing</v>
      </c>
      <c r="D88" s="50" t="str">
        <f>IF(Table22[[#This Row],[Region]]=" ",$F$1,Table22[[#This Row],[Region]])</f>
        <v>East</v>
      </c>
    </row>
    <row r="89" spans="1:4" ht="15" thickBot="1">
      <c r="A89" s="24" t="s">
        <v>48</v>
      </c>
      <c r="B89" s="21" t="s">
        <v>13</v>
      </c>
      <c r="C89" s="49" t="str">
        <f>IF(Table22[[#This Row],[Region]]= " ",$F$1,Table22[[#This Row],[Category]])</f>
        <v>Beverages</v>
      </c>
      <c r="D89" s="49" t="str">
        <f>IF(Table22[[#This Row],[Region]]=" ",$F$1,Table22[[#This Row],[Region]])</f>
        <v>South</v>
      </c>
    </row>
    <row r="90" spans="1:4" ht="15" thickBot="1">
      <c r="A90" s="25" t="s">
        <v>22</v>
      </c>
      <c r="B90" s="12" t="s">
        <v>13</v>
      </c>
      <c r="C90" s="50" t="str">
        <f>IF(Table22[[#This Row],[Region]]= " ",$F$1,Table22[[#This Row],[Category]])</f>
        <v>Beverages</v>
      </c>
      <c r="D90" s="50" t="str">
        <f>IF(Table22[[#This Row],[Region]]=" ",$F$1,Table22[[#This Row],[Region]])</f>
        <v>North</v>
      </c>
    </row>
    <row r="91" spans="1:4" ht="15" thickBot="1">
      <c r="A91" s="24" t="s">
        <v>17</v>
      </c>
      <c r="B91" s="21" t="s">
        <v>42</v>
      </c>
      <c r="C91" s="49" t="str">
        <f>IF(Table22[[#This Row],[Region]]= " ",$F$1,Table22[[#This Row],[Category]])</f>
        <v>Electronics</v>
      </c>
      <c r="D91" s="49" t="str">
        <f>IF(Table22[[#This Row],[Region]]=" ",$F$1,Table22[[#This Row],[Region]])</f>
        <v>West</v>
      </c>
    </row>
    <row r="92" spans="1:4" ht="15" thickBot="1">
      <c r="A92" s="25" t="s">
        <v>48</v>
      </c>
      <c r="B92" s="12" t="s">
        <v>42</v>
      </c>
      <c r="C92" s="50" t="str">
        <f>IF(Table22[[#This Row],[Region]]= " ",$F$1,Table22[[#This Row],[Category]])</f>
        <v>Electronics</v>
      </c>
      <c r="D92" s="50" t="str">
        <f>IF(Table22[[#This Row],[Region]]=" ",$F$1,Table22[[#This Row],[Region]])</f>
        <v>South</v>
      </c>
    </row>
    <row r="93" spans="1:4" ht="15" thickBot="1">
      <c r="A93" s="24" t="s">
        <v>17</v>
      </c>
      <c r="B93" s="21" t="s">
        <v>27</v>
      </c>
      <c r="C93" s="49" t="str">
        <f>IF(Table22[[#This Row],[Region]]= " ",$F$1,Table22[[#This Row],[Category]])</f>
        <v>Furniture</v>
      </c>
      <c r="D93" s="49" t="str">
        <f>IF(Table22[[#This Row],[Region]]=" ",$F$1,Table22[[#This Row],[Region]])</f>
        <v>West</v>
      </c>
    </row>
    <row r="94" spans="1:4" ht="15" thickBot="1">
      <c r="A94" s="25" t="s">
        <v>17</v>
      </c>
      <c r="B94" s="12" t="s">
        <v>42</v>
      </c>
      <c r="C94" s="50" t="str">
        <f>IF(Table22[[#This Row],[Region]]= " ",$F$1,Table22[[#This Row],[Category]])</f>
        <v>Electronics</v>
      </c>
      <c r="D94" s="50" t="str">
        <f>IF(Table22[[#This Row],[Region]]=" ",$F$1,Table22[[#This Row],[Region]])</f>
        <v>West</v>
      </c>
    </row>
    <row r="95" spans="1:4" ht="15" thickBot="1">
      <c r="A95" s="24" t="s">
        <v>48</v>
      </c>
      <c r="B95" s="21" t="s">
        <v>23</v>
      </c>
      <c r="C95" s="49" t="str">
        <f>IF(Table22[[#This Row],[Region]]= " ",$F$1,Table22[[#This Row],[Category]])</f>
        <v>Clothing</v>
      </c>
      <c r="D95" s="49" t="str">
        <f>IF(Table22[[#This Row],[Region]]=" ",$F$1,Table22[[#This Row],[Region]])</f>
        <v>South</v>
      </c>
    </row>
    <row r="96" spans="1:4" ht="15" thickBot="1">
      <c r="A96" s="25" t="s">
        <v>48</v>
      </c>
      <c r="B96" s="12" t="s">
        <v>13</v>
      </c>
      <c r="C96" s="50" t="str">
        <f>IF(Table22[[#This Row],[Region]]= " ",$F$1,Table22[[#This Row],[Category]])</f>
        <v>Beverages</v>
      </c>
      <c r="D96" s="50" t="str">
        <f>IF(Table22[[#This Row],[Region]]=" ",$F$1,Table22[[#This Row],[Region]])</f>
        <v>South</v>
      </c>
    </row>
    <row r="97" spans="1:4" ht="15" thickBot="1">
      <c r="A97" s="24" t="s">
        <v>48</v>
      </c>
      <c r="B97" s="21" t="s">
        <v>27</v>
      </c>
      <c r="C97" s="49" t="str">
        <f>IF(Table22[[#This Row],[Region]]= " ",$F$1,Table22[[#This Row],[Category]])</f>
        <v>Furniture</v>
      </c>
      <c r="D97" s="49" t="str">
        <f>IF(Table22[[#This Row],[Region]]=" ",$F$1,Table22[[#This Row],[Region]])</f>
        <v>South</v>
      </c>
    </row>
    <row r="98" spans="1:4" ht="15" thickBot="1">
      <c r="A98" s="25" t="s">
        <v>48</v>
      </c>
      <c r="B98" s="12" t="s">
        <v>42</v>
      </c>
      <c r="C98" s="50" t="str">
        <f>IF(Table22[[#This Row],[Region]]= " ",$F$1,Table22[[#This Row],[Category]])</f>
        <v>Electronics</v>
      </c>
      <c r="D98" s="50" t="str">
        <f>IF(Table22[[#This Row],[Region]]=" ",$F$1,Table22[[#This Row],[Region]])</f>
        <v>South</v>
      </c>
    </row>
    <row r="99" spans="1:4" ht="15" thickBot="1">
      <c r="A99" s="24" t="s">
        <v>48</v>
      </c>
      <c r="B99" s="21" t="s">
        <v>23</v>
      </c>
      <c r="C99" s="49" t="str">
        <f>IF(Table22[[#This Row],[Region]]= " ",$F$1,Table22[[#This Row],[Category]])</f>
        <v>Clothing</v>
      </c>
      <c r="D99" s="49" t="str">
        <f>IF(Table22[[#This Row],[Region]]=" ",$F$1,Table22[[#This Row],[Region]])</f>
        <v>South</v>
      </c>
    </row>
    <row r="100" spans="1:4" ht="15" thickBot="1">
      <c r="A100" s="25" t="s">
        <v>17</v>
      </c>
      <c r="B100" s="12" t="s">
        <v>23</v>
      </c>
      <c r="C100" s="50" t="str">
        <f>IF(Table22[[#This Row],[Region]]= " ",$F$1,Table22[[#This Row],[Category]])</f>
        <v>Clothing</v>
      </c>
      <c r="D100" s="50" t="str">
        <f>IF(Table22[[#This Row],[Region]]=" ",$F$1,Table22[[#This Row],[Region]])</f>
        <v>West</v>
      </c>
    </row>
    <row r="101" spans="1:4" ht="15" thickBot="1">
      <c r="A101" s="24" t="s">
        <v>48</v>
      </c>
      <c r="B101" s="21" t="s">
        <v>42</v>
      </c>
      <c r="C101" s="49" t="str">
        <f>IF(Table22[[#This Row],[Region]]= " ",$F$1,Table22[[#This Row],[Category]])</f>
        <v>Electronics</v>
      </c>
      <c r="D101" s="49" t="str">
        <f>IF(Table22[[#This Row],[Region]]=" ",$F$1,Table22[[#This Row],[Region]])</f>
        <v>South</v>
      </c>
    </row>
    <row r="102" spans="1:4" ht="15" thickBot="1">
      <c r="A102" s="25" t="s">
        <v>22</v>
      </c>
      <c r="B102" s="12" t="s">
        <v>13</v>
      </c>
      <c r="C102" s="50" t="str">
        <f>IF(Table22[[#This Row],[Region]]= " ",$F$1,Table22[[#This Row],[Category]])</f>
        <v>Beverages</v>
      </c>
      <c r="D102" s="50" t="str">
        <f>IF(Table22[[#This Row],[Region]]=" ",$F$1,Table22[[#This Row],[Region]])</f>
        <v>North</v>
      </c>
    </row>
    <row r="103" spans="1:4" ht="15" thickBot="1">
      <c r="A103" s="24" t="s">
        <v>11</v>
      </c>
      <c r="B103" s="21" t="s">
        <v>42</v>
      </c>
      <c r="C103" s="49" t="str">
        <f>IF(Table22[[#This Row],[Region]]= " ",$F$1,Table22[[#This Row],[Category]])</f>
        <v>Electronics</v>
      </c>
      <c r="D103" s="49" t="str">
        <f>IF(Table22[[#This Row],[Region]]=" ",$F$1,Table22[[#This Row],[Region]])</f>
        <v>East</v>
      </c>
    </row>
    <row r="104" spans="1:4" ht="15" thickBot="1">
      <c r="A104" s="25" t="s">
        <v>48</v>
      </c>
      <c r="B104" s="12" t="s">
        <v>27</v>
      </c>
      <c r="C104" s="50" t="str">
        <f>IF(Table22[[#This Row],[Region]]= " ",$F$1,Table22[[#This Row],[Category]])</f>
        <v>Furniture</v>
      </c>
      <c r="D104" s="50" t="str">
        <f>IF(Table22[[#This Row],[Region]]=" ",$F$1,Table22[[#This Row],[Region]])</f>
        <v>South</v>
      </c>
    </row>
    <row r="105" spans="1:4" ht="15" thickBot="1">
      <c r="A105" s="24" t="s">
        <v>48</v>
      </c>
      <c r="B105" s="21" t="s">
        <v>42</v>
      </c>
      <c r="C105" s="49" t="str">
        <f>IF(Table22[[#This Row],[Region]]= " ",$F$1,Table22[[#This Row],[Category]])</f>
        <v>Electronics</v>
      </c>
      <c r="D105" s="49" t="str">
        <f>IF(Table22[[#This Row],[Region]]=" ",$F$1,Table22[[#This Row],[Region]])</f>
        <v>South</v>
      </c>
    </row>
    <row r="106" spans="1:4" ht="15" thickBot="1">
      <c r="A106" s="25" t="s">
        <v>17</v>
      </c>
      <c r="B106" s="12" t="s">
        <v>23</v>
      </c>
      <c r="C106" s="50" t="str">
        <f>IF(Table22[[#This Row],[Region]]= " ",$F$1,Table22[[#This Row],[Category]])</f>
        <v>Clothing</v>
      </c>
      <c r="D106" s="50" t="str">
        <f>IF(Table22[[#This Row],[Region]]=" ",$F$1,Table22[[#This Row],[Region]])</f>
        <v>West</v>
      </c>
    </row>
    <row r="107" spans="1:4" ht="15" thickBot="1">
      <c r="A107" s="24" t="s">
        <v>48</v>
      </c>
      <c r="B107" s="21" t="s">
        <v>42</v>
      </c>
      <c r="C107" s="49" t="str">
        <f>IF(Table22[[#This Row],[Region]]= " ",$F$1,Table22[[#This Row],[Category]])</f>
        <v>Electronics</v>
      </c>
      <c r="D107" s="49" t="str">
        <f>IF(Table22[[#This Row],[Region]]=" ",$F$1,Table22[[#This Row],[Region]])</f>
        <v>South</v>
      </c>
    </row>
    <row r="108" spans="1:4" ht="15" thickBot="1">
      <c r="A108" s="25" t="s">
        <v>48</v>
      </c>
      <c r="B108" s="12" t="s">
        <v>13</v>
      </c>
      <c r="C108" s="50" t="str">
        <f>IF(Table22[[#This Row],[Region]]= " ",$F$1,Table22[[#This Row],[Category]])</f>
        <v>Beverages</v>
      </c>
      <c r="D108" s="50" t="str">
        <f>IF(Table22[[#This Row],[Region]]=" ",$F$1,Table22[[#This Row],[Region]])</f>
        <v>South</v>
      </c>
    </row>
    <row r="109" spans="1:4" ht="15" thickBot="1">
      <c r="A109" s="24" t="s">
        <v>48</v>
      </c>
      <c r="B109" s="21" t="s">
        <v>19</v>
      </c>
      <c r="C109" s="49" t="str">
        <f>IF(Table22[[#This Row],[Region]]= " ",$F$1,Table22[[#This Row],[Category]])</f>
        <v>Food</v>
      </c>
      <c r="D109" s="49" t="str">
        <f>IF(Table22[[#This Row],[Region]]=" ",$F$1,Table22[[#This Row],[Region]])</f>
        <v>South</v>
      </c>
    </row>
    <row r="110" spans="1:4" ht="15" thickBot="1">
      <c r="A110" s="25" t="s">
        <v>17</v>
      </c>
      <c r="B110" s="12" t="s">
        <v>42</v>
      </c>
      <c r="C110" s="50" t="str">
        <f>IF(Table22[[#This Row],[Region]]= " ",$F$1,Table22[[#This Row],[Category]])</f>
        <v>Electronics</v>
      </c>
      <c r="D110" s="50" t="str">
        <f>IF(Table22[[#This Row],[Region]]=" ",$F$1,Table22[[#This Row],[Region]])</f>
        <v>West</v>
      </c>
    </row>
    <row r="111" spans="1:4" ht="15" thickBot="1">
      <c r="A111" s="24" t="s">
        <v>48</v>
      </c>
      <c r="B111" s="21" t="s">
        <v>13</v>
      </c>
      <c r="C111" s="49" t="str">
        <f>IF(Table22[[#This Row],[Region]]= " ",$F$1,Table22[[#This Row],[Category]])</f>
        <v>Beverages</v>
      </c>
      <c r="D111" s="49" t="str">
        <f>IF(Table22[[#This Row],[Region]]=" ",$F$1,Table22[[#This Row],[Region]])</f>
        <v>South</v>
      </c>
    </row>
    <row r="112" spans="1:4" ht="15" thickBot="1">
      <c r="A112" s="25" t="s">
        <v>11</v>
      </c>
      <c r="B112" s="12" t="s">
        <v>13</v>
      </c>
      <c r="C112" s="50" t="str">
        <f>IF(Table22[[#This Row],[Region]]= " ",$F$1,Table22[[#This Row],[Category]])</f>
        <v>Beverages</v>
      </c>
      <c r="D112" s="50" t="str">
        <f>IF(Table22[[#This Row],[Region]]=" ",$F$1,Table22[[#This Row],[Region]])</f>
        <v>East</v>
      </c>
    </row>
    <row r="113" spans="1:4" ht="15" thickBot="1">
      <c r="A113" s="24" t="s">
        <v>17</v>
      </c>
      <c r="B113" s="21" t="s">
        <v>23</v>
      </c>
      <c r="C113" s="49" t="str">
        <f>IF(Table22[[#This Row],[Region]]= " ",$F$1,Table22[[#This Row],[Category]])</f>
        <v>Clothing</v>
      </c>
      <c r="D113" s="49" t="str">
        <f>IF(Table22[[#This Row],[Region]]=" ",$F$1,Table22[[#This Row],[Region]])</f>
        <v>West</v>
      </c>
    </row>
    <row r="114" spans="1:4" ht="15" thickBot="1">
      <c r="A114" s="25" t="s">
        <v>11</v>
      </c>
      <c r="B114" s="12" t="s">
        <v>13</v>
      </c>
      <c r="C114" s="50" t="str">
        <f>IF(Table22[[#This Row],[Region]]= " ",$F$1,Table22[[#This Row],[Category]])</f>
        <v>Beverages</v>
      </c>
      <c r="D114" s="50" t="str">
        <f>IF(Table22[[#This Row],[Region]]=" ",$F$1,Table22[[#This Row],[Region]])</f>
        <v>East</v>
      </c>
    </row>
    <row r="115" spans="1:4" ht="15" thickBot="1">
      <c r="A115" s="24" t="s">
        <v>17</v>
      </c>
      <c r="B115" s="21" t="s">
        <v>13</v>
      </c>
      <c r="C115" s="49" t="str">
        <f>IF(Table22[[#This Row],[Region]]= " ",$F$1,Table22[[#This Row],[Category]])</f>
        <v>Beverages</v>
      </c>
      <c r="D115" s="49" t="str">
        <f>IF(Table22[[#This Row],[Region]]=" ",$F$1,Table22[[#This Row],[Region]])</f>
        <v>West</v>
      </c>
    </row>
    <row r="116" spans="1:4" ht="15" thickBot="1">
      <c r="A116" s="25" t="s">
        <v>48</v>
      </c>
      <c r="B116" s="12" t="s">
        <v>13</v>
      </c>
      <c r="C116" s="50" t="str">
        <f>IF(Table22[[#This Row],[Region]]= " ",$F$1,Table22[[#This Row],[Category]])</f>
        <v>Beverages</v>
      </c>
      <c r="D116" s="50" t="str">
        <f>IF(Table22[[#This Row],[Region]]=" ",$F$1,Table22[[#This Row],[Region]])</f>
        <v>South</v>
      </c>
    </row>
    <row r="117" spans="1:4" ht="15" thickBot="1">
      <c r="A117" s="24" t="s">
        <v>11</v>
      </c>
      <c r="B117" s="21" t="s">
        <v>13</v>
      </c>
      <c r="C117" s="49" t="str">
        <f>IF(Table22[[#This Row],[Region]]= " ",$F$1,Table22[[#This Row],[Category]])</f>
        <v>Beverages</v>
      </c>
      <c r="D117" s="49" t="str">
        <f>IF(Table22[[#This Row],[Region]]=" ",$F$1,Table22[[#This Row],[Region]])</f>
        <v>East</v>
      </c>
    </row>
    <row r="118" spans="1:4" ht="15" thickBot="1">
      <c r="A118" s="25" t="s">
        <v>17</v>
      </c>
      <c r="B118" s="12" t="s">
        <v>27</v>
      </c>
      <c r="C118" s="50" t="str">
        <f>IF(Table22[[#This Row],[Region]]= " ",$F$1,Table22[[#This Row],[Category]])</f>
        <v>Furniture</v>
      </c>
      <c r="D118" s="50" t="str">
        <f>IF(Table22[[#This Row],[Region]]=" ",$F$1,Table22[[#This Row],[Region]])</f>
        <v>West</v>
      </c>
    </row>
    <row r="119" spans="1:4" ht="15" thickBot="1">
      <c r="A119" s="24" t="s">
        <v>22</v>
      </c>
      <c r="B119" s="21" t="s">
        <v>27</v>
      </c>
      <c r="C119" s="49" t="str">
        <f>IF(Table22[[#This Row],[Region]]= " ",$F$1,Table22[[#This Row],[Category]])</f>
        <v>Furniture</v>
      </c>
      <c r="D119" s="49" t="str">
        <f>IF(Table22[[#This Row],[Region]]=" ",$F$1,Table22[[#This Row],[Region]])</f>
        <v>North</v>
      </c>
    </row>
    <row r="120" spans="1:4" ht="15" thickBot="1">
      <c r="A120" s="25"/>
      <c r="B120" s="12" t="s">
        <v>23</v>
      </c>
      <c r="C120" s="50" t="str">
        <f>IF(Table22[[#This Row],[Region]]= " ",$F$1,Table22[[#This Row],[Category]])</f>
        <v>Clothing</v>
      </c>
      <c r="D120" s="50">
        <f>IF(Table22[[#This Row],[Region]]=" ",$F$1,Table22[[#This Row],[Region]])</f>
        <v>0</v>
      </c>
    </row>
    <row r="121" spans="1:4" ht="15" thickBot="1">
      <c r="A121" s="24" t="s">
        <v>17</v>
      </c>
      <c r="B121" s="21" t="s">
        <v>42</v>
      </c>
      <c r="C121" s="49" t="str">
        <f>IF(Table22[[#This Row],[Region]]= " ",$F$1,Table22[[#This Row],[Category]])</f>
        <v>Electronics</v>
      </c>
      <c r="D121" s="49" t="str">
        <f>IF(Table22[[#This Row],[Region]]=" ",$F$1,Table22[[#This Row],[Region]])</f>
        <v>West</v>
      </c>
    </row>
    <row r="122" spans="1:4" ht="15" thickBot="1">
      <c r="A122" s="25" t="s">
        <v>22</v>
      </c>
      <c r="B122" s="12" t="s">
        <v>13</v>
      </c>
      <c r="C122" s="50" t="str">
        <f>IF(Table22[[#This Row],[Region]]= " ",$F$1,Table22[[#This Row],[Category]])</f>
        <v>Beverages</v>
      </c>
      <c r="D122" s="50" t="str">
        <f>IF(Table22[[#This Row],[Region]]=" ",$F$1,Table22[[#This Row],[Region]])</f>
        <v>North</v>
      </c>
    </row>
    <row r="123" spans="1:4" ht="15" thickBot="1">
      <c r="A123" s="24" t="s">
        <v>17</v>
      </c>
      <c r="B123" s="21" t="s">
        <v>42</v>
      </c>
      <c r="C123" s="49" t="str">
        <f>IF(Table22[[#This Row],[Region]]= " ",$F$1,Table22[[#This Row],[Category]])</f>
        <v>Electronics</v>
      </c>
      <c r="D123" s="49" t="str">
        <f>IF(Table22[[#This Row],[Region]]=" ",$F$1,Table22[[#This Row],[Region]])</f>
        <v>West</v>
      </c>
    </row>
    <row r="124" spans="1:4" ht="15" thickBot="1">
      <c r="A124" s="25"/>
      <c r="B124" s="12" t="s">
        <v>42</v>
      </c>
      <c r="C124" s="50" t="str">
        <f>IF(Table22[[#This Row],[Region]]= " ",$F$1,Table22[[#This Row],[Category]])</f>
        <v>Electronics</v>
      </c>
      <c r="D124" s="50">
        <f>IF(Table22[[#This Row],[Region]]=" ",$F$1,Table22[[#This Row],[Region]])</f>
        <v>0</v>
      </c>
    </row>
    <row r="125" spans="1:4" ht="15" thickBot="1">
      <c r="A125" s="24" t="s">
        <v>48</v>
      </c>
      <c r="B125" s="21" t="s">
        <v>23</v>
      </c>
      <c r="C125" s="49" t="str">
        <f>IF(Table22[[#This Row],[Region]]= " ",$F$1,Table22[[#This Row],[Category]])</f>
        <v>Clothing</v>
      </c>
      <c r="D125" s="49" t="str">
        <f>IF(Table22[[#This Row],[Region]]=" ",$F$1,Table22[[#This Row],[Region]])</f>
        <v>South</v>
      </c>
    </row>
    <row r="126" spans="1:4" ht="15" thickBot="1">
      <c r="A126" s="25" t="s">
        <v>11</v>
      </c>
      <c r="B126" s="12" t="s">
        <v>13</v>
      </c>
      <c r="C126" s="50" t="str">
        <f>IF(Table22[[#This Row],[Region]]= " ",$F$1,Table22[[#This Row],[Category]])</f>
        <v>Beverages</v>
      </c>
      <c r="D126" s="50" t="str">
        <f>IF(Table22[[#This Row],[Region]]=" ",$F$1,Table22[[#This Row],[Region]])</f>
        <v>East</v>
      </c>
    </row>
    <row r="127" spans="1:4" ht="15" thickBot="1">
      <c r="A127" s="24" t="s">
        <v>22</v>
      </c>
      <c r="B127" s="21" t="s">
        <v>13</v>
      </c>
      <c r="C127" s="49" t="str">
        <f>IF(Table22[[#This Row],[Region]]= " ",$F$1,Table22[[#This Row],[Category]])</f>
        <v>Beverages</v>
      </c>
      <c r="D127" s="49" t="str">
        <f>IF(Table22[[#This Row],[Region]]=" ",$F$1,Table22[[#This Row],[Region]])</f>
        <v>North</v>
      </c>
    </row>
    <row r="128" spans="1:4" ht="15" thickBot="1">
      <c r="A128" s="25" t="s">
        <v>17</v>
      </c>
      <c r="B128" s="12" t="s">
        <v>19</v>
      </c>
      <c r="C128" s="50" t="str">
        <f>IF(Table22[[#This Row],[Region]]= " ",$F$1,Table22[[#This Row],[Category]])</f>
        <v>Food</v>
      </c>
      <c r="D128" s="50" t="str">
        <f>IF(Table22[[#This Row],[Region]]=" ",$F$1,Table22[[#This Row],[Region]])</f>
        <v>West</v>
      </c>
    </row>
    <row r="129" spans="1:4" ht="15" thickBot="1">
      <c r="A129" s="24" t="s">
        <v>48</v>
      </c>
      <c r="B129" s="21" t="s">
        <v>42</v>
      </c>
      <c r="C129" s="49" t="str">
        <f>IF(Table22[[#This Row],[Region]]= " ",$F$1,Table22[[#This Row],[Category]])</f>
        <v>Electronics</v>
      </c>
      <c r="D129" s="49" t="str">
        <f>IF(Table22[[#This Row],[Region]]=" ",$F$1,Table22[[#This Row],[Region]])</f>
        <v>South</v>
      </c>
    </row>
    <row r="130" spans="1:4" ht="15" thickBot="1">
      <c r="A130" s="25" t="s">
        <v>22</v>
      </c>
      <c r="B130" s="12" t="s">
        <v>42</v>
      </c>
      <c r="C130" s="50" t="str">
        <f>IF(Table22[[#This Row],[Region]]= " ",$F$1,Table22[[#This Row],[Category]])</f>
        <v>Electronics</v>
      </c>
      <c r="D130" s="50" t="str">
        <f>IF(Table22[[#This Row],[Region]]=" ",$F$1,Table22[[#This Row],[Region]])</f>
        <v>North</v>
      </c>
    </row>
    <row r="131" spans="1:4" ht="15" thickBot="1">
      <c r="A131" s="24" t="s">
        <v>17</v>
      </c>
      <c r="B131" s="21" t="s">
        <v>27</v>
      </c>
      <c r="C131" s="49" t="str">
        <f>IF(Table22[[#This Row],[Region]]= " ",$F$1,Table22[[#This Row],[Category]])</f>
        <v>Furniture</v>
      </c>
      <c r="D131" s="49" t="str">
        <f>IF(Table22[[#This Row],[Region]]=" ",$F$1,Table22[[#This Row],[Region]])</f>
        <v>West</v>
      </c>
    </row>
    <row r="132" spans="1:4" ht="15" thickBot="1">
      <c r="A132" s="25" t="s">
        <v>17</v>
      </c>
      <c r="B132" s="12" t="s">
        <v>19</v>
      </c>
      <c r="C132" s="50" t="str">
        <f>IF(Table22[[#This Row],[Region]]= " ",$F$1,Table22[[#This Row],[Category]])</f>
        <v>Food</v>
      </c>
      <c r="D132" s="50" t="str">
        <f>IF(Table22[[#This Row],[Region]]=" ",$F$1,Table22[[#This Row],[Region]])</f>
        <v>West</v>
      </c>
    </row>
    <row r="133" spans="1:4" ht="15" thickBot="1">
      <c r="A133" s="24" t="s">
        <v>17</v>
      </c>
      <c r="B133" s="21" t="s">
        <v>27</v>
      </c>
      <c r="C133" s="49" t="str">
        <f>IF(Table22[[#This Row],[Region]]= " ",$F$1,Table22[[#This Row],[Category]])</f>
        <v>Furniture</v>
      </c>
      <c r="D133" s="49" t="str">
        <f>IF(Table22[[#This Row],[Region]]=" ",$F$1,Table22[[#This Row],[Region]])</f>
        <v>West</v>
      </c>
    </row>
    <row r="134" spans="1:4" ht="15" thickBot="1">
      <c r="A134" s="25" t="s">
        <v>22</v>
      </c>
      <c r="B134" s="12" t="s">
        <v>27</v>
      </c>
      <c r="C134" s="50" t="str">
        <f>IF(Table22[[#This Row],[Region]]= " ",$F$1,Table22[[#This Row],[Category]])</f>
        <v>Furniture</v>
      </c>
      <c r="D134" s="50" t="str">
        <f>IF(Table22[[#This Row],[Region]]=" ",$F$1,Table22[[#This Row],[Region]])</f>
        <v>North</v>
      </c>
    </row>
    <row r="135" spans="1:4" ht="15" thickBot="1">
      <c r="A135" s="24" t="s">
        <v>22</v>
      </c>
      <c r="B135" s="21" t="s">
        <v>27</v>
      </c>
      <c r="C135" s="49" t="str">
        <f>IF(Table22[[#This Row],[Region]]= " ",$F$1,Table22[[#This Row],[Category]])</f>
        <v>Furniture</v>
      </c>
      <c r="D135" s="49" t="str">
        <f>IF(Table22[[#This Row],[Region]]=" ",$F$1,Table22[[#This Row],[Region]])</f>
        <v>North</v>
      </c>
    </row>
    <row r="136" spans="1:4" ht="15" thickBot="1">
      <c r="A136" s="25" t="s">
        <v>22</v>
      </c>
      <c r="B136" s="12" t="s">
        <v>23</v>
      </c>
      <c r="C136" s="50" t="str">
        <f>IF(Table22[[#This Row],[Region]]= " ",$F$1,Table22[[#This Row],[Category]])</f>
        <v>Clothing</v>
      </c>
      <c r="D136" s="50" t="str">
        <f>IF(Table22[[#This Row],[Region]]=" ",$F$1,Table22[[#This Row],[Region]])</f>
        <v>North</v>
      </c>
    </row>
    <row r="137" spans="1:4" ht="15" thickBot="1">
      <c r="A137" s="24" t="s">
        <v>11</v>
      </c>
      <c r="B137" s="21" t="s">
        <v>23</v>
      </c>
      <c r="C137" s="49" t="str">
        <f>IF(Table22[[#This Row],[Region]]= " ",$F$1,Table22[[#This Row],[Category]])</f>
        <v>Clothing</v>
      </c>
      <c r="D137" s="49" t="str">
        <f>IF(Table22[[#This Row],[Region]]=" ",$F$1,Table22[[#This Row],[Region]])</f>
        <v>East</v>
      </c>
    </row>
    <row r="138" spans="1:4" ht="15" thickBot="1">
      <c r="A138" s="25" t="s">
        <v>22</v>
      </c>
      <c r="B138" s="12" t="s">
        <v>27</v>
      </c>
      <c r="C138" s="50" t="str">
        <f>IF(Table22[[#This Row],[Region]]= " ",$F$1,Table22[[#This Row],[Category]])</f>
        <v>Furniture</v>
      </c>
      <c r="D138" s="50" t="str">
        <f>IF(Table22[[#This Row],[Region]]=" ",$F$1,Table22[[#This Row],[Region]])</f>
        <v>North</v>
      </c>
    </row>
    <row r="139" spans="1:4" ht="15" thickBot="1">
      <c r="A139" s="24" t="s">
        <v>22</v>
      </c>
      <c r="B139" s="21" t="s">
        <v>19</v>
      </c>
      <c r="C139" s="49" t="str">
        <f>IF(Table22[[#This Row],[Region]]= " ",$F$1,Table22[[#This Row],[Category]])</f>
        <v>Food</v>
      </c>
      <c r="D139" s="49" t="str">
        <f>IF(Table22[[#This Row],[Region]]=" ",$F$1,Table22[[#This Row],[Region]])</f>
        <v>North</v>
      </c>
    </row>
    <row r="140" spans="1:4" ht="15" thickBot="1">
      <c r="A140" s="25" t="s">
        <v>22</v>
      </c>
      <c r="B140" s="12" t="s">
        <v>42</v>
      </c>
      <c r="C140" s="50" t="str">
        <f>IF(Table22[[#This Row],[Region]]= " ",$F$1,Table22[[#This Row],[Category]])</f>
        <v>Electronics</v>
      </c>
      <c r="D140" s="50" t="str">
        <f>IF(Table22[[#This Row],[Region]]=" ",$F$1,Table22[[#This Row],[Region]])</f>
        <v>North</v>
      </c>
    </row>
    <row r="141" spans="1:4" ht="15" thickBot="1">
      <c r="A141" s="24" t="s">
        <v>11</v>
      </c>
      <c r="B141" s="21" t="s">
        <v>19</v>
      </c>
      <c r="C141" s="49" t="str">
        <f>IF(Table22[[#This Row],[Region]]= " ",$F$1,Table22[[#This Row],[Category]])</f>
        <v>Food</v>
      </c>
      <c r="D141" s="49" t="str">
        <f>IF(Table22[[#This Row],[Region]]=" ",$F$1,Table22[[#This Row],[Region]])</f>
        <v>East</v>
      </c>
    </row>
    <row r="142" spans="1:4" ht="15" thickBot="1">
      <c r="A142" s="25" t="s">
        <v>22</v>
      </c>
      <c r="B142" s="12" t="s">
        <v>13</v>
      </c>
      <c r="C142" s="50" t="str">
        <f>IF(Table22[[#This Row],[Region]]= " ",$F$1,Table22[[#This Row],[Category]])</f>
        <v>Beverages</v>
      </c>
      <c r="D142" s="50" t="str">
        <f>IF(Table22[[#This Row],[Region]]=" ",$F$1,Table22[[#This Row],[Region]])</f>
        <v>North</v>
      </c>
    </row>
    <row r="143" spans="1:4" ht="15" thickBot="1">
      <c r="A143" s="24" t="s">
        <v>17</v>
      </c>
      <c r="B143" s="21" t="s">
        <v>23</v>
      </c>
      <c r="C143" s="49" t="str">
        <f>IF(Table22[[#This Row],[Region]]= " ",$F$1,Table22[[#This Row],[Category]])</f>
        <v>Clothing</v>
      </c>
      <c r="D143" s="49" t="str">
        <f>IF(Table22[[#This Row],[Region]]=" ",$F$1,Table22[[#This Row],[Region]])</f>
        <v>West</v>
      </c>
    </row>
    <row r="144" spans="1:4" ht="15" thickBot="1">
      <c r="A144" s="25" t="s">
        <v>22</v>
      </c>
      <c r="B144" s="12" t="s">
        <v>42</v>
      </c>
      <c r="C144" s="50" t="str">
        <f>IF(Table22[[#This Row],[Region]]= " ",$F$1,Table22[[#This Row],[Category]])</f>
        <v>Electronics</v>
      </c>
      <c r="D144" s="50" t="str">
        <f>IF(Table22[[#This Row],[Region]]=" ",$F$1,Table22[[#This Row],[Region]])</f>
        <v>North</v>
      </c>
    </row>
    <row r="145" spans="1:4" ht="15" thickBot="1">
      <c r="A145" s="24" t="s">
        <v>17</v>
      </c>
      <c r="B145" s="21" t="s">
        <v>42</v>
      </c>
      <c r="C145" s="49" t="str">
        <f>IF(Table22[[#This Row],[Region]]= " ",$F$1,Table22[[#This Row],[Category]])</f>
        <v>Electronics</v>
      </c>
      <c r="D145" s="49" t="str">
        <f>IF(Table22[[#This Row],[Region]]=" ",$F$1,Table22[[#This Row],[Region]])</f>
        <v>West</v>
      </c>
    </row>
    <row r="146" spans="1:4" ht="15" thickBot="1">
      <c r="A146" s="25" t="s">
        <v>17</v>
      </c>
      <c r="B146" s="12" t="s">
        <v>13</v>
      </c>
      <c r="C146" s="50" t="str">
        <f>IF(Table22[[#This Row],[Region]]= " ",$F$1,Table22[[#This Row],[Category]])</f>
        <v>Beverages</v>
      </c>
      <c r="D146" s="50" t="str">
        <f>IF(Table22[[#This Row],[Region]]=" ",$F$1,Table22[[#This Row],[Region]])</f>
        <v>West</v>
      </c>
    </row>
    <row r="147" spans="1:4" ht="15" thickBot="1">
      <c r="A147" s="24" t="s">
        <v>17</v>
      </c>
      <c r="B147" s="21" t="s">
        <v>13</v>
      </c>
      <c r="C147" s="49" t="str">
        <f>IF(Table22[[#This Row],[Region]]= " ",$F$1,Table22[[#This Row],[Category]])</f>
        <v>Beverages</v>
      </c>
      <c r="D147" s="49" t="str">
        <f>IF(Table22[[#This Row],[Region]]=" ",$F$1,Table22[[#This Row],[Region]])</f>
        <v>West</v>
      </c>
    </row>
    <row r="148" spans="1:4" ht="15" thickBot="1">
      <c r="A148" s="25" t="s">
        <v>11</v>
      </c>
      <c r="B148" s="12" t="s">
        <v>27</v>
      </c>
      <c r="C148" s="50" t="str">
        <f>IF(Table22[[#This Row],[Region]]= " ",$F$1,Table22[[#This Row],[Category]])</f>
        <v>Furniture</v>
      </c>
      <c r="D148" s="50" t="str">
        <f>IF(Table22[[#This Row],[Region]]=" ",$F$1,Table22[[#This Row],[Region]])</f>
        <v>East</v>
      </c>
    </row>
    <row r="149" spans="1:4" ht="15" thickBot="1">
      <c r="A149" s="24" t="s">
        <v>11</v>
      </c>
      <c r="B149" s="21" t="s">
        <v>23</v>
      </c>
      <c r="C149" s="49" t="str">
        <f>IF(Table22[[#This Row],[Region]]= " ",$F$1,Table22[[#This Row],[Category]])</f>
        <v>Clothing</v>
      </c>
      <c r="D149" s="49" t="str">
        <f>IF(Table22[[#This Row],[Region]]=" ",$F$1,Table22[[#This Row],[Region]])</f>
        <v>East</v>
      </c>
    </row>
    <row r="150" spans="1:4" ht="15" thickBot="1">
      <c r="A150" s="25" t="s">
        <v>11</v>
      </c>
      <c r="B150" s="12" t="s">
        <v>23</v>
      </c>
      <c r="C150" s="50" t="str">
        <f>IF(Table22[[#This Row],[Region]]= " ",$F$1,Table22[[#This Row],[Category]])</f>
        <v>Clothing</v>
      </c>
      <c r="D150" s="50" t="str">
        <f>IF(Table22[[#This Row],[Region]]=" ",$F$1,Table22[[#This Row],[Region]])</f>
        <v>East</v>
      </c>
    </row>
    <row r="151" spans="1:4" ht="15" thickBot="1">
      <c r="A151" s="24" t="s">
        <v>22</v>
      </c>
      <c r="B151" s="21" t="s">
        <v>19</v>
      </c>
      <c r="C151" s="49" t="str">
        <f>IF(Table22[[#This Row],[Region]]= " ",$F$1,Table22[[#This Row],[Category]])</f>
        <v>Food</v>
      </c>
      <c r="D151" s="49" t="str">
        <f>IF(Table22[[#This Row],[Region]]=" ",$F$1,Table22[[#This Row],[Region]])</f>
        <v>North</v>
      </c>
    </row>
    <row r="152" spans="1:4" ht="15" thickBot="1">
      <c r="A152" s="25" t="s">
        <v>17</v>
      </c>
      <c r="B152" s="12" t="s">
        <v>27</v>
      </c>
      <c r="C152" s="50" t="str">
        <f>IF(Table22[[#This Row],[Region]]= " ",$F$1,Table22[[#This Row],[Category]])</f>
        <v>Furniture</v>
      </c>
      <c r="D152" s="50" t="str">
        <f>IF(Table22[[#This Row],[Region]]=" ",$F$1,Table22[[#This Row],[Region]])</f>
        <v>West</v>
      </c>
    </row>
    <row r="153" spans="1:4" ht="15" thickBot="1">
      <c r="A153" s="24" t="s">
        <v>11</v>
      </c>
      <c r="B153" s="21" t="s">
        <v>27</v>
      </c>
      <c r="C153" s="49" t="str">
        <f>IF(Table22[[#This Row],[Region]]= " ",$F$1,Table22[[#This Row],[Category]])</f>
        <v>Furniture</v>
      </c>
      <c r="D153" s="49" t="str">
        <f>IF(Table22[[#This Row],[Region]]=" ",$F$1,Table22[[#This Row],[Region]])</f>
        <v>East</v>
      </c>
    </row>
    <row r="154" spans="1:4" ht="15" thickBot="1">
      <c r="A154" s="25" t="s">
        <v>11</v>
      </c>
      <c r="B154" s="12" t="s">
        <v>27</v>
      </c>
      <c r="C154" s="50" t="str">
        <f>IF(Table22[[#This Row],[Region]]= " ",$F$1,Table22[[#This Row],[Category]])</f>
        <v>Furniture</v>
      </c>
      <c r="D154" s="50" t="str">
        <f>IF(Table22[[#This Row],[Region]]=" ",$F$1,Table22[[#This Row],[Region]])</f>
        <v>East</v>
      </c>
    </row>
    <row r="155" spans="1:4" ht="15" thickBot="1">
      <c r="A155" s="24" t="s">
        <v>22</v>
      </c>
      <c r="B155" s="21" t="s">
        <v>27</v>
      </c>
      <c r="C155" s="49" t="str">
        <f>IF(Table22[[#This Row],[Region]]= " ",$F$1,Table22[[#This Row],[Category]])</f>
        <v>Furniture</v>
      </c>
      <c r="D155" s="49" t="str">
        <f>IF(Table22[[#This Row],[Region]]=" ",$F$1,Table22[[#This Row],[Region]])</f>
        <v>North</v>
      </c>
    </row>
    <row r="156" spans="1:4" ht="15" thickBot="1">
      <c r="A156" s="25" t="s">
        <v>11</v>
      </c>
      <c r="B156" s="12" t="s">
        <v>23</v>
      </c>
      <c r="C156" s="50" t="str">
        <f>IF(Table22[[#This Row],[Region]]= " ",$F$1,Table22[[#This Row],[Category]])</f>
        <v>Clothing</v>
      </c>
      <c r="D156" s="50" t="str">
        <f>IF(Table22[[#This Row],[Region]]=" ",$F$1,Table22[[#This Row],[Region]])</f>
        <v>East</v>
      </c>
    </row>
    <row r="157" spans="1:4" ht="15" thickBot="1">
      <c r="A157" s="24" t="s">
        <v>22</v>
      </c>
      <c r="B157" s="21" t="s">
        <v>23</v>
      </c>
      <c r="C157" s="49" t="str">
        <f>IF(Table22[[#This Row],[Region]]= " ",$F$1,Table22[[#This Row],[Category]])</f>
        <v>Clothing</v>
      </c>
      <c r="D157" s="49" t="str">
        <f>IF(Table22[[#This Row],[Region]]=" ",$F$1,Table22[[#This Row],[Region]])</f>
        <v>North</v>
      </c>
    </row>
    <row r="158" spans="1:4" ht="15" thickBot="1">
      <c r="A158" s="25" t="s">
        <v>48</v>
      </c>
      <c r="B158" s="12" t="s">
        <v>27</v>
      </c>
      <c r="C158" s="50" t="str">
        <f>IF(Table22[[#This Row],[Region]]= " ",$F$1,Table22[[#This Row],[Category]])</f>
        <v>Furniture</v>
      </c>
      <c r="D158" s="50" t="str">
        <f>IF(Table22[[#This Row],[Region]]=" ",$F$1,Table22[[#This Row],[Region]])</f>
        <v>South</v>
      </c>
    </row>
    <row r="159" spans="1:4" ht="15" thickBot="1">
      <c r="A159" s="24" t="s">
        <v>11</v>
      </c>
      <c r="B159" s="21" t="s">
        <v>19</v>
      </c>
      <c r="C159" s="49" t="str">
        <f>IF(Table22[[#This Row],[Region]]= " ",$F$1,Table22[[#This Row],[Category]])</f>
        <v>Food</v>
      </c>
      <c r="D159" s="49" t="str">
        <f>IF(Table22[[#This Row],[Region]]=" ",$F$1,Table22[[#This Row],[Region]])</f>
        <v>East</v>
      </c>
    </row>
    <row r="160" spans="1:4" ht="15" thickBot="1">
      <c r="A160" s="25" t="s">
        <v>48</v>
      </c>
      <c r="B160" s="12" t="s">
        <v>42</v>
      </c>
      <c r="C160" s="50" t="str">
        <f>IF(Table22[[#This Row],[Region]]= " ",$F$1,Table22[[#This Row],[Category]])</f>
        <v>Electronics</v>
      </c>
      <c r="D160" s="50" t="str">
        <f>IF(Table22[[#This Row],[Region]]=" ",$F$1,Table22[[#This Row],[Region]])</f>
        <v>South</v>
      </c>
    </row>
    <row r="161" spans="1:4" ht="15" thickBot="1">
      <c r="A161" s="24" t="s">
        <v>22</v>
      </c>
      <c r="B161" s="21"/>
      <c r="C161" s="49">
        <f>IF(Table22[[#This Row],[Region]]= " ",$F$1,Table22[[#This Row],[Category]])</f>
        <v>0</v>
      </c>
      <c r="D161" s="49" t="str">
        <f>IF(Table22[[#This Row],[Region]]=" ",$F$1,Table22[[#This Row],[Region]])</f>
        <v>North</v>
      </c>
    </row>
    <row r="162" spans="1:4" ht="15" thickBot="1">
      <c r="A162" s="25" t="s">
        <v>17</v>
      </c>
      <c r="B162" s="12" t="s">
        <v>19</v>
      </c>
      <c r="C162" s="50" t="str">
        <f>IF(Table22[[#This Row],[Region]]= " ",$F$1,Table22[[#This Row],[Category]])</f>
        <v>Food</v>
      </c>
      <c r="D162" s="50" t="str">
        <f>IF(Table22[[#This Row],[Region]]=" ",$F$1,Table22[[#This Row],[Region]])</f>
        <v>West</v>
      </c>
    </row>
    <row r="163" spans="1:4" ht="15" thickBot="1">
      <c r="A163" s="24" t="s">
        <v>11</v>
      </c>
      <c r="B163" s="21" t="s">
        <v>27</v>
      </c>
      <c r="C163" s="49" t="str">
        <f>IF(Table22[[#This Row],[Region]]= " ",$F$1,Table22[[#This Row],[Category]])</f>
        <v>Furniture</v>
      </c>
      <c r="D163" s="49" t="str">
        <f>IF(Table22[[#This Row],[Region]]=" ",$F$1,Table22[[#This Row],[Region]])</f>
        <v>East</v>
      </c>
    </row>
    <row r="164" spans="1:4" ht="15" thickBot="1">
      <c r="A164" s="25" t="s">
        <v>22</v>
      </c>
      <c r="B164" s="12" t="s">
        <v>23</v>
      </c>
      <c r="C164" s="50" t="str">
        <f>IF(Table22[[#This Row],[Region]]= " ",$F$1,Table22[[#This Row],[Category]])</f>
        <v>Clothing</v>
      </c>
      <c r="D164" s="50" t="str">
        <f>IF(Table22[[#This Row],[Region]]=" ",$F$1,Table22[[#This Row],[Region]])</f>
        <v>North</v>
      </c>
    </row>
    <row r="165" spans="1:4" ht="15" thickBot="1">
      <c r="A165" s="24" t="s">
        <v>17</v>
      </c>
      <c r="B165" s="21" t="s">
        <v>42</v>
      </c>
      <c r="C165" s="49" t="str">
        <f>IF(Table22[[#This Row],[Region]]= " ",$F$1,Table22[[#This Row],[Category]])</f>
        <v>Electronics</v>
      </c>
      <c r="D165" s="49" t="str">
        <f>IF(Table22[[#This Row],[Region]]=" ",$F$1,Table22[[#This Row],[Region]])</f>
        <v>West</v>
      </c>
    </row>
    <row r="166" spans="1:4" ht="15" thickBot="1">
      <c r="A166" s="25" t="s">
        <v>17</v>
      </c>
      <c r="B166" s="12" t="s">
        <v>13</v>
      </c>
      <c r="C166" s="50" t="str">
        <f>IF(Table22[[#This Row],[Region]]= " ",$F$1,Table22[[#This Row],[Category]])</f>
        <v>Beverages</v>
      </c>
      <c r="D166" s="50" t="str">
        <f>IF(Table22[[#This Row],[Region]]=" ",$F$1,Table22[[#This Row],[Region]])</f>
        <v>West</v>
      </c>
    </row>
    <row r="167" spans="1:4" ht="15" thickBot="1">
      <c r="A167" s="24" t="s">
        <v>48</v>
      </c>
      <c r="B167" s="21" t="s">
        <v>13</v>
      </c>
      <c r="C167" s="49" t="str">
        <f>IF(Table22[[#This Row],[Region]]= " ",$F$1,Table22[[#This Row],[Category]])</f>
        <v>Beverages</v>
      </c>
      <c r="D167" s="49" t="str">
        <f>IF(Table22[[#This Row],[Region]]=" ",$F$1,Table22[[#This Row],[Region]])</f>
        <v>South</v>
      </c>
    </row>
    <row r="168" spans="1:4" ht="15" thickBot="1">
      <c r="A168" s="25" t="s">
        <v>22</v>
      </c>
      <c r="B168" s="12" t="s">
        <v>19</v>
      </c>
      <c r="C168" s="50" t="str">
        <f>IF(Table22[[#This Row],[Region]]= " ",$F$1,Table22[[#This Row],[Category]])</f>
        <v>Food</v>
      </c>
      <c r="D168" s="50" t="str">
        <f>IF(Table22[[#This Row],[Region]]=" ",$F$1,Table22[[#This Row],[Region]])</f>
        <v>North</v>
      </c>
    </row>
    <row r="169" spans="1:4" ht="15" thickBot="1">
      <c r="A169" s="24" t="s">
        <v>17</v>
      </c>
      <c r="B169" s="21" t="s">
        <v>27</v>
      </c>
      <c r="C169" s="49" t="str">
        <f>IF(Table22[[#This Row],[Region]]= " ",$F$1,Table22[[#This Row],[Category]])</f>
        <v>Furniture</v>
      </c>
      <c r="D169" s="49" t="str">
        <f>IF(Table22[[#This Row],[Region]]=" ",$F$1,Table22[[#This Row],[Region]])</f>
        <v>West</v>
      </c>
    </row>
    <row r="170" spans="1:4" ht="15" thickBot="1">
      <c r="A170" s="25" t="s">
        <v>11</v>
      </c>
      <c r="B170" s="12" t="s">
        <v>42</v>
      </c>
      <c r="C170" s="50" t="str">
        <f>IF(Table22[[#This Row],[Region]]= " ",$F$1,Table22[[#This Row],[Category]])</f>
        <v>Electronics</v>
      </c>
      <c r="D170" s="50" t="str">
        <f>IF(Table22[[#This Row],[Region]]=" ",$F$1,Table22[[#This Row],[Region]])</f>
        <v>East</v>
      </c>
    </row>
    <row r="171" spans="1:4" ht="15" thickBot="1">
      <c r="A171" s="24" t="s">
        <v>11</v>
      </c>
      <c r="B171" s="21" t="s">
        <v>27</v>
      </c>
      <c r="C171" s="49" t="str">
        <f>IF(Table22[[#This Row],[Region]]= " ",$F$1,Table22[[#This Row],[Category]])</f>
        <v>Furniture</v>
      </c>
      <c r="D171" s="49" t="str">
        <f>IF(Table22[[#This Row],[Region]]=" ",$F$1,Table22[[#This Row],[Region]])</f>
        <v>East</v>
      </c>
    </row>
    <row r="172" spans="1:4" ht="15" thickBot="1">
      <c r="A172" s="25" t="s">
        <v>48</v>
      </c>
      <c r="B172" s="12" t="s">
        <v>42</v>
      </c>
      <c r="C172" s="50" t="str">
        <f>IF(Table22[[#This Row],[Region]]= " ",$F$1,Table22[[#This Row],[Category]])</f>
        <v>Electronics</v>
      </c>
      <c r="D172" s="50" t="str">
        <f>IF(Table22[[#This Row],[Region]]=" ",$F$1,Table22[[#This Row],[Region]])</f>
        <v>South</v>
      </c>
    </row>
    <row r="173" spans="1:4" ht="15" thickBot="1">
      <c r="A173" s="24" t="s">
        <v>17</v>
      </c>
      <c r="B173" s="21" t="s">
        <v>19</v>
      </c>
      <c r="C173" s="49" t="str">
        <f>IF(Table22[[#This Row],[Region]]= " ",$F$1,Table22[[#This Row],[Category]])</f>
        <v>Food</v>
      </c>
      <c r="D173" s="49" t="str">
        <f>IF(Table22[[#This Row],[Region]]=" ",$F$1,Table22[[#This Row],[Region]])</f>
        <v>West</v>
      </c>
    </row>
    <row r="174" spans="1:4" ht="15" thickBot="1">
      <c r="A174" s="25" t="s">
        <v>22</v>
      </c>
      <c r="B174" s="12" t="s">
        <v>19</v>
      </c>
      <c r="C174" s="50" t="str">
        <f>IF(Table22[[#This Row],[Region]]= " ",$F$1,Table22[[#This Row],[Category]])</f>
        <v>Food</v>
      </c>
      <c r="D174" s="50" t="str">
        <f>IF(Table22[[#This Row],[Region]]=" ",$F$1,Table22[[#This Row],[Region]])</f>
        <v>North</v>
      </c>
    </row>
    <row r="175" spans="1:4" ht="15" thickBot="1">
      <c r="A175" s="24" t="s">
        <v>11</v>
      </c>
      <c r="B175" s="21" t="s">
        <v>13</v>
      </c>
      <c r="C175" s="49" t="str">
        <f>IF(Table22[[#This Row],[Region]]= " ",$F$1,Table22[[#This Row],[Category]])</f>
        <v>Beverages</v>
      </c>
      <c r="D175" s="49" t="str">
        <f>IF(Table22[[#This Row],[Region]]=" ",$F$1,Table22[[#This Row],[Region]])</f>
        <v>East</v>
      </c>
    </row>
    <row r="176" spans="1:4" ht="15" thickBot="1">
      <c r="A176" s="25" t="s">
        <v>17</v>
      </c>
      <c r="B176" s="12" t="s">
        <v>27</v>
      </c>
      <c r="C176" s="50" t="str">
        <f>IF(Table22[[#This Row],[Region]]= " ",$F$1,Table22[[#This Row],[Category]])</f>
        <v>Furniture</v>
      </c>
      <c r="D176" s="50" t="str">
        <f>IF(Table22[[#This Row],[Region]]=" ",$F$1,Table22[[#This Row],[Region]])</f>
        <v>West</v>
      </c>
    </row>
    <row r="177" spans="1:4" ht="15" thickBot="1">
      <c r="A177" s="24" t="s">
        <v>17</v>
      </c>
      <c r="B177" s="21" t="s">
        <v>13</v>
      </c>
      <c r="C177" s="49" t="str">
        <f>IF(Table22[[#This Row],[Region]]= " ",$F$1,Table22[[#This Row],[Category]])</f>
        <v>Beverages</v>
      </c>
      <c r="D177" s="49" t="str">
        <f>IF(Table22[[#This Row],[Region]]=" ",$F$1,Table22[[#This Row],[Region]])</f>
        <v>West</v>
      </c>
    </row>
    <row r="178" spans="1:4" ht="15" thickBot="1">
      <c r="A178" s="25" t="s">
        <v>48</v>
      </c>
      <c r="B178" s="12" t="s">
        <v>27</v>
      </c>
      <c r="C178" s="50" t="str">
        <f>IF(Table22[[#This Row],[Region]]= " ",$F$1,Table22[[#This Row],[Category]])</f>
        <v>Furniture</v>
      </c>
      <c r="D178" s="50" t="str">
        <f>IF(Table22[[#This Row],[Region]]=" ",$F$1,Table22[[#This Row],[Region]])</f>
        <v>South</v>
      </c>
    </row>
    <row r="179" spans="1:4" ht="15" thickBot="1">
      <c r="A179" s="24" t="s">
        <v>11</v>
      </c>
      <c r="B179" s="21" t="s">
        <v>13</v>
      </c>
      <c r="C179" s="49" t="str">
        <f>IF(Table22[[#This Row],[Region]]= " ",$F$1,Table22[[#This Row],[Category]])</f>
        <v>Beverages</v>
      </c>
      <c r="D179" s="49" t="str">
        <f>IF(Table22[[#This Row],[Region]]=" ",$F$1,Table22[[#This Row],[Region]])</f>
        <v>East</v>
      </c>
    </row>
    <row r="180" spans="1:4" ht="15" thickBot="1">
      <c r="A180" s="25" t="s">
        <v>11</v>
      </c>
      <c r="B180" s="12" t="s">
        <v>23</v>
      </c>
      <c r="C180" s="50" t="str">
        <f>IF(Table22[[#This Row],[Region]]= " ",$F$1,Table22[[#This Row],[Category]])</f>
        <v>Clothing</v>
      </c>
      <c r="D180" s="50" t="str">
        <f>IF(Table22[[#This Row],[Region]]=" ",$F$1,Table22[[#This Row],[Region]])</f>
        <v>East</v>
      </c>
    </row>
    <row r="181" spans="1:4" ht="15" thickBot="1">
      <c r="A181" s="24" t="s">
        <v>22</v>
      </c>
      <c r="B181" s="21" t="s">
        <v>23</v>
      </c>
      <c r="C181" s="49" t="str">
        <f>IF(Table22[[#This Row],[Region]]= " ",$F$1,Table22[[#This Row],[Category]])</f>
        <v>Clothing</v>
      </c>
      <c r="D181" s="49" t="str">
        <f>IF(Table22[[#This Row],[Region]]=" ",$F$1,Table22[[#This Row],[Region]])</f>
        <v>North</v>
      </c>
    </row>
    <row r="182" spans="1:4" ht="15" thickBot="1">
      <c r="A182" s="25" t="s">
        <v>11</v>
      </c>
      <c r="B182" s="12" t="s">
        <v>23</v>
      </c>
      <c r="C182" s="50" t="str">
        <f>IF(Table22[[#This Row],[Region]]= " ",$F$1,Table22[[#This Row],[Category]])</f>
        <v>Clothing</v>
      </c>
      <c r="D182" s="50" t="str">
        <f>IF(Table22[[#This Row],[Region]]=" ",$F$1,Table22[[#This Row],[Region]])</f>
        <v>East</v>
      </c>
    </row>
    <row r="183" spans="1:4" ht="15" thickBot="1">
      <c r="A183" s="24" t="s">
        <v>22</v>
      </c>
      <c r="B183" s="21" t="s">
        <v>23</v>
      </c>
      <c r="C183" s="49" t="str">
        <f>IF(Table22[[#This Row],[Region]]= " ",$F$1,Table22[[#This Row],[Category]])</f>
        <v>Clothing</v>
      </c>
      <c r="D183" s="49" t="str">
        <f>IF(Table22[[#This Row],[Region]]=" ",$F$1,Table22[[#This Row],[Region]])</f>
        <v>North</v>
      </c>
    </row>
    <row r="184" spans="1:4" ht="15" thickBot="1">
      <c r="A184" s="25" t="s">
        <v>11</v>
      </c>
      <c r="B184" s="12" t="s">
        <v>42</v>
      </c>
      <c r="C184" s="50" t="str">
        <f>IF(Table22[[#This Row],[Region]]= " ",$F$1,Table22[[#This Row],[Category]])</f>
        <v>Electronics</v>
      </c>
      <c r="D184" s="50" t="str">
        <f>IF(Table22[[#This Row],[Region]]=" ",$F$1,Table22[[#This Row],[Region]])</f>
        <v>East</v>
      </c>
    </row>
    <row r="185" spans="1:4" ht="15" thickBot="1">
      <c r="A185" s="24" t="s">
        <v>48</v>
      </c>
      <c r="B185" s="21" t="s">
        <v>23</v>
      </c>
      <c r="C185" s="49" t="str">
        <f>IF(Table22[[#This Row],[Region]]= " ",$F$1,Table22[[#This Row],[Category]])</f>
        <v>Clothing</v>
      </c>
      <c r="D185" s="49" t="str">
        <f>IF(Table22[[#This Row],[Region]]=" ",$F$1,Table22[[#This Row],[Region]])</f>
        <v>South</v>
      </c>
    </row>
    <row r="186" spans="1:4" ht="15" thickBot="1">
      <c r="A186" s="25" t="s">
        <v>11</v>
      </c>
      <c r="B186" s="12" t="s">
        <v>19</v>
      </c>
      <c r="C186" s="50" t="str">
        <f>IF(Table22[[#This Row],[Region]]= " ",$F$1,Table22[[#This Row],[Category]])</f>
        <v>Food</v>
      </c>
      <c r="D186" s="50" t="str">
        <f>IF(Table22[[#This Row],[Region]]=" ",$F$1,Table22[[#This Row],[Region]])</f>
        <v>East</v>
      </c>
    </row>
    <row r="187" spans="1:4" ht="15" thickBot="1">
      <c r="A187" s="24" t="s">
        <v>22</v>
      </c>
      <c r="B187" s="21" t="s">
        <v>19</v>
      </c>
      <c r="C187" s="49" t="str">
        <f>IF(Table22[[#This Row],[Region]]= " ",$F$1,Table22[[#This Row],[Category]])</f>
        <v>Food</v>
      </c>
      <c r="D187" s="49" t="str">
        <f>IF(Table22[[#This Row],[Region]]=" ",$F$1,Table22[[#This Row],[Region]])</f>
        <v>North</v>
      </c>
    </row>
    <row r="188" spans="1:4" ht="15" thickBot="1">
      <c r="A188" s="25" t="s">
        <v>22</v>
      </c>
      <c r="B188" s="12" t="s">
        <v>42</v>
      </c>
      <c r="C188" s="50" t="str">
        <f>IF(Table22[[#This Row],[Region]]= " ",$F$1,Table22[[#This Row],[Category]])</f>
        <v>Electronics</v>
      </c>
      <c r="D188" s="50" t="str">
        <f>IF(Table22[[#This Row],[Region]]=" ",$F$1,Table22[[#This Row],[Region]])</f>
        <v>North</v>
      </c>
    </row>
    <row r="189" spans="1:4" ht="15" thickBot="1">
      <c r="A189" s="24" t="s">
        <v>48</v>
      </c>
      <c r="B189" s="21" t="s">
        <v>23</v>
      </c>
      <c r="C189" s="49" t="str">
        <f>IF(Table22[[#This Row],[Region]]= " ",$F$1,Table22[[#This Row],[Category]])</f>
        <v>Clothing</v>
      </c>
      <c r="D189" s="49" t="str">
        <f>IF(Table22[[#This Row],[Region]]=" ",$F$1,Table22[[#This Row],[Region]])</f>
        <v>South</v>
      </c>
    </row>
    <row r="190" spans="1:4" ht="15" thickBot="1">
      <c r="A190" s="25" t="s">
        <v>11</v>
      </c>
      <c r="B190" s="12" t="s">
        <v>23</v>
      </c>
      <c r="C190" s="50" t="str">
        <f>IF(Table22[[#This Row],[Region]]= " ",$F$1,Table22[[#This Row],[Category]])</f>
        <v>Clothing</v>
      </c>
      <c r="D190" s="50" t="str">
        <f>IF(Table22[[#This Row],[Region]]=" ",$F$1,Table22[[#This Row],[Region]])</f>
        <v>East</v>
      </c>
    </row>
    <row r="191" spans="1:4" ht="15" thickBot="1">
      <c r="A191" s="24" t="s">
        <v>11</v>
      </c>
      <c r="B191" s="21" t="s">
        <v>23</v>
      </c>
      <c r="C191" s="49" t="str">
        <f>IF(Table22[[#This Row],[Region]]= " ",$F$1,Table22[[#This Row],[Category]])</f>
        <v>Clothing</v>
      </c>
      <c r="D191" s="49" t="str">
        <f>IF(Table22[[#This Row],[Region]]=" ",$F$1,Table22[[#This Row],[Region]])</f>
        <v>East</v>
      </c>
    </row>
    <row r="192" spans="1:4" ht="15" thickBot="1">
      <c r="A192" s="25" t="s">
        <v>48</v>
      </c>
      <c r="B192" s="12" t="s">
        <v>13</v>
      </c>
      <c r="C192" s="50" t="str">
        <f>IF(Table22[[#This Row],[Region]]= " ",$F$1,Table22[[#This Row],[Category]])</f>
        <v>Beverages</v>
      </c>
      <c r="D192" s="50" t="str">
        <f>IF(Table22[[#This Row],[Region]]=" ",$F$1,Table22[[#This Row],[Region]])</f>
        <v>South</v>
      </c>
    </row>
    <row r="193" spans="1:4" ht="15" thickBot="1">
      <c r="A193" s="24" t="s">
        <v>11</v>
      </c>
      <c r="B193" s="21" t="s">
        <v>27</v>
      </c>
      <c r="C193" s="49" t="str">
        <f>IF(Table22[[#This Row],[Region]]= " ",$F$1,Table22[[#This Row],[Category]])</f>
        <v>Furniture</v>
      </c>
      <c r="D193" s="49" t="str">
        <f>IF(Table22[[#This Row],[Region]]=" ",$F$1,Table22[[#This Row],[Region]])</f>
        <v>East</v>
      </c>
    </row>
    <row r="194" spans="1:4" ht="15" thickBot="1">
      <c r="A194" s="25" t="s">
        <v>11</v>
      </c>
      <c r="B194" s="12" t="s">
        <v>13</v>
      </c>
      <c r="C194" s="50" t="str">
        <f>IF(Table22[[#This Row],[Region]]= " ",$F$1,Table22[[#This Row],[Category]])</f>
        <v>Beverages</v>
      </c>
      <c r="D194" s="50" t="str">
        <f>IF(Table22[[#This Row],[Region]]=" ",$F$1,Table22[[#This Row],[Region]])</f>
        <v>East</v>
      </c>
    </row>
    <row r="195" spans="1:4" ht="15" thickBot="1">
      <c r="A195" s="24" t="s">
        <v>22</v>
      </c>
      <c r="B195" s="21" t="s">
        <v>27</v>
      </c>
      <c r="C195" s="49" t="str">
        <f>IF(Table22[[#This Row],[Region]]= " ",$F$1,Table22[[#This Row],[Category]])</f>
        <v>Furniture</v>
      </c>
      <c r="D195" s="49" t="str">
        <f>IF(Table22[[#This Row],[Region]]=" ",$F$1,Table22[[#This Row],[Region]])</f>
        <v>North</v>
      </c>
    </row>
    <row r="196" spans="1:4" ht="15" thickBot="1">
      <c r="A196" s="25" t="s">
        <v>11</v>
      </c>
      <c r="B196" s="12" t="s">
        <v>23</v>
      </c>
      <c r="C196" s="50" t="str">
        <f>IF(Table22[[#This Row],[Region]]= " ",$F$1,Table22[[#This Row],[Category]])</f>
        <v>Clothing</v>
      </c>
      <c r="D196" s="50" t="str">
        <f>IF(Table22[[#This Row],[Region]]=" ",$F$1,Table22[[#This Row],[Region]])</f>
        <v>East</v>
      </c>
    </row>
    <row r="197" spans="1:4" ht="15" thickBot="1">
      <c r="A197" s="24" t="s">
        <v>11</v>
      </c>
      <c r="B197" s="21" t="s">
        <v>23</v>
      </c>
      <c r="C197" s="49" t="str">
        <f>IF(Table22[[#This Row],[Region]]= " ",$F$1,Table22[[#This Row],[Category]])</f>
        <v>Clothing</v>
      </c>
      <c r="D197" s="49" t="str">
        <f>IF(Table22[[#This Row],[Region]]=" ",$F$1,Table22[[#This Row],[Region]])</f>
        <v>East</v>
      </c>
    </row>
    <row r="198" spans="1:4" ht="15" thickBot="1">
      <c r="A198" s="25" t="s">
        <v>48</v>
      </c>
      <c r="B198" s="12" t="s">
        <v>13</v>
      </c>
      <c r="C198" s="50" t="str">
        <f>IF(Table22[[#This Row],[Region]]= " ",$F$1,Table22[[#This Row],[Category]])</f>
        <v>Beverages</v>
      </c>
      <c r="D198" s="50" t="str">
        <f>IF(Table22[[#This Row],[Region]]=" ",$F$1,Table22[[#This Row],[Region]])</f>
        <v>South</v>
      </c>
    </row>
    <row r="199" spans="1:4" ht="15" thickBot="1">
      <c r="A199" s="24" t="s">
        <v>48</v>
      </c>
      <c r="B199" s="21" t="s">
        <v>13</v>
      </c>
      <c r="C199" s="49" t="str">
        <f>IF(Table22[[#This Row],[Region]]= " ",$F$1,Table22[[#This Row],[Category]])</f>
        <v>Beverages</v>
      </c>
      <c r="D199" s="49" t="str">
        <f>IF(Table22[[#This Row],[Region]]=" ",$F$1,Table22[[#This Row],[Region]])</f>
        <v>South</v>
      </c>
    </row>
    <row r="200" spans="1:4" ht="15" thickBot="1">
      <c r="A200" s="25" t="s">
        <v>17</v>
      </c>
      <c r="B200" s="12" t="s">
        <v>27</v>
      </c>
      <c r="C200" s="50" t="str">
        <f>IF(Table22[[#This Row],[Region]]= " ",$F$1,Table22[[#This Row],[Category]])</f>
        <v>Furniture</v>
      </c>
      <c r="D200" s="50" t="str">
        <f>IF(Table22[[#This Row],[Region]]=" ",$F$1,Table22[[#This Row],[Region]])</f>
        <v>West</v>
      </c>
    </row>
    <row r="201" spans="1:4" ht="15" thickBot="1">
      <c r="A201" s="24" t="s">
        <v>22</v>
      </c>
      <c r="B201" s="21" t="s">
        <v>19</v>
      </c>
      <c r="C201" s="49" t="str">
        <f>IF(Table22[[#This Row],[Region]]= " ",$F$1,Table22[[#This Row],[Category]])</f>
        <v>Food</v>
      </c>
      <c r="D201" s="49" t="str">
        <f>IF(Table22[[#This Row],[Region]]=" ",$F$1,Table22[[#This Row],[Region]])</f>
        <v>North</v>
      </c>
    </row>
    <row r="202" spans="1:4" ht="15" thickBot="1">
      <c r="A202" s="25" t="s">
        <v>11</v>
      </c>
      <c r="B202" s="12" t="s">
        <v>27</v>
      </c>
      <c r="C202" s="50" t="str">
        <f>IF(Table22[[#This Row],[Region]]= " ",$F$1,Table22[[#This Row],[Category]])</f>
        <v>Furniture</v>
      </c>
      <c r="D202" s="50" t="str">
        <f>IF(Table22[[#This Row],[Region]]=" ",$F$1,Table22[[#This Row],[Region]])</f>
        <v>East</v>
      </c>
    </row>
    <row r="203" spans="1:4" ht="15" thickBot="1">
      <c r="A203" s="24" t="s">
        <v>11</v>
      </c>
      <c r="B203" s="21" t="s">
        <v>13</v>
      </c>
      <c r="C203" s="49" t="str">
        <f>IF(Table22[[#This Row],[Region]]= " ",$F$1,Table22[[#This Row],[Category]])</f>
        <v>Beverages</v>
      </c>
      <c r="D203" s="49" t="str">
        <f>IF(Table22[[#This Row],[Region]]=" ",$F$1,Table22[[#This Row],[Region]])</f>
        <v>East</v>
      </c>
    </row>
    <row r="204" spans="1:4" ht="15" thickBot="1">
      <c r="A204" s="25" t="s">
        <v>17</v>
      </c>
      <c r="B204" s="12" t="s">
        <v>13</v>
      </c>
      <c r="C204" s="50" t="str">
        <f>IF(Table22[[#This Row],[Region]]= " ",$F$1,Table22[[#This Row],[Category]])</f>
        <v>Beverages</v>
      </c>
      <c r="D204" s="50" t="str">
        <f>IF(Table22[[#This Row],[Region]]=" ",$F$1,Table22[[#This Row],[Region]])</f>
        <v>West</v>
      </c>
    </row>
    <row r="205" spans="1:4" ht="15" thickBot="1">
      <c r="A205" s="24" t="s">
        <v>11</v>
      </c>
      <c r="B205" s="21" t="s">
        <v>42</v>
      </c>
      <c r="C205" s="49" t="str">
        <f>IF(Table22[[#This Row],[Region]]= " ",$F$1,Table22[[#This Row],[Category]])</f>
        <v>Electronics</v>
      </c>
      <c r="D205" s="49" t="str">
        <f>IF(Table22[[#This Row],[Region]]=" ",$F$1,Table22[[#This Row],[Region]])</f>
        <v>East</v>
      </c>
    </row>
    <row r="206" spans="1:4" ht="15" thickBot="1">
      <c r="A206" s="25" t="s">
        <v>22</v>
      </c>
      <c r="B206" s="12" t="s">
        <v>13</v>
      </c>
      <c r="C206" s="50" t="str">
        <f>IF(Table22[[#This Row],[Region]]= " ",$F$1,Table22[[#This Row],[Category]])</f>
        <v>Beverages</v>
      </c>
      <c r="D206" s="50" t="str">
        <f>IF(Table22[[#This Row],[Region]]=" ",$F$1,Table22[[#This Row],[Region]])</f>
        <v>North</v>
      </c>
    </row>
    <row r="207" spans="1:4" ht="15" thickBot="1">
      <c r="A207" s="24" t="s">
        <v>17</v>
      </c>
      <c r="B207" s="21" t="s">
        <v>42</v>
      </c>
      <c r="C207" s="49" t="str">
        <f>IF(Table22[[#This Row],[Region]]= " ",$F$1,Table22[[#This Row],[Category]])</f>
        <v>Electronics</v>
      </c>
      <c r="D207" s="49" t="str">
        <f>IF(Table22[[#This Row],[Region]]=" ",$F$1,Table22[[#This Row],[Region]])</f>
        <v>West</v>
      </c>
    </row>
    <row r="208" spans="1:4" ht="15" thickBot="1">
      <c r="A208" s="25" t="s">
        <v>22</v>
      </c>
      <c r="B208" s="12" t="s">
        <v>19</v>
      </c>
      <c r="C208" s="50" t="str">
        <f>IF(Table22[[#This Row],[Region]]= " ",$F$1,Table22[[#This Row],[Category]])</f>
        <v>Food</v>
      </c>
      <c r="D208" s="50" t="str">
        <f>IF(Table22[[#This Row],[Region]]=" ",$F$1,Table22[[#This Row],[Region]])</f>
        <v>North</v>
      </c>
    </row>
    <row r="209" spans="1:4" ht="15" thickBot="1">
      <c r="A209" s="24" t="s">
        <v>17</v>
      </c>
      <c r="B209" s="21" t="s">
        <v>27</v>
      </c>
      <c r="C209" s="49" t="str">
        <f>IF(Table22[[#This Row],[Region]]= " ",$F$1,Table22[[#This Row],[Category]])</f>
        <v>Furniture</v>
      </c>
      <c r="D209" s="49" t="str">
        <f>IF(Table22[[#This Row],[Region]]=" ",$F$1,Table22[[#This Row],[Region]])</f>
        <v>West</v>
      </c>
    </row>
    <row r="210" spans="1:4" ht="15" thickBot="1">
      <c r="A210" s="25" t="s">
        <v>17</v>
      </c>
      <c r="B210" s="12" t="s">
        <v>27</v>
      </c>
      <c r="C210" s="50" t="str">
        <f>IF(Table22[[#This Row],[Region]]= " ",$F$1,Table22[[#This Row],[Category]])</f>
        <v>Furniture</v>
      </c>
      <c r="D210" s="50" t="str">
        <f>IF(Table22[[#This Row],[Region]]=" ",$F$1,Table22[[#This Row],[Region]])</f>
        <v>West</v>
      </c>
    </row>
    <row r="211" spans="1:4" ht="15" thickBot="1">
      <c r="A211" s="24" t="s">
        <v>48</v>
      </c>
      <c r="B211" s="21" t="s">
        <v>42</v>
      </c>
      <c r="C211" s="49" t="str">
        <f>IF(Table22[[#This Row],[Region]]= " ",$F$1,Table22[[#This Row],[Category]])</f>
        <v>Electronics</v>
      </c>
      <c r="D211" s="49" t="str">
        <f>IF(Table22[[#This Row],[Region]]=" ",$F$1,Table22[[#This Row],[Region]])</f>
        <v>South</v>
      </c>
    </row>
    <row r="212" spans="1:4" ht="15" thickBot="1">
      <c r="A212" s="25" t="s">
        <v>22</v>
      </c>
      <c r="B212" s="12" t="s">
        <v>27</v>
      </c>
      <c r="C212" s="50" t="str">
        <f>IF(Table22[[#This Row],[Region]]= " ",$F$1,Table22[[#This Row],[Category]])</f>
        <v>Furniture</v>
      </c>
      <c r="D212" s="50" t="str">
        <f>IF(Table22[[#This Row],[Region]]=" ",$F$1,Table22[[#This Row],[Region]])</f>
        <v>North</v>
      </c>
    </row>
    <row r="213" spans="1:4" ht="15" thickBot="1">
      <c r="A213" s="24" t="s">
        <v>11</v>
      </c>
      <c r="B213" s="21"/>
      <c r="C213" s="49">
        <f>IF(Table22[[#This Row],[Region]]= " ",$F$1,Table22[[#This Row],[Category]])</f>
        <v>0</v>
      </c>
      <c r="D213" s="49" t="str">
        <f>IF(Table22[[#This Row],[Region]]=" ",$F$1,Table22[[#This Row],[Region]])</f>
        <v>East</v>
      </c>
    </row>
    <row r="214" spans="1:4" ht="15" thickBot="1">
      <c r="A214" s="25" t="s">
        <v>11</v>
      </c>
      <c r="B214" s="12" t="s">
        <v>23</v>
      </c>
      <c r="C214" s="50" t="str">
        <f>IF(Table22[[#This Row],[Region]]= " ",$F$1,Table22[[#This Row],[Category]])</f>
        <v>Clothing</v>
      </c>
      <c r="D214" s="50" t="str">
        <f>IF(Table22[[#This Row],[Region]]=" ",$F$1,Table22[[#This Row],[Region]])</f>
        <v>East</v>
      </c>
    </row>
    <row r="215" spans="1:4" ht="15" thickBot="1">
      <c r="A215" s="24" t="s">
        <v>22</v>
      </c>
      <c r="B215" s="21" t="s">
        <v>42</v>
      </c>
      <c r="C215" s="49" t="str">
        <f>IF(Table22[[#This Row],[Region]]= " ",$F$1,Table22[[#This Row],[Category]])</f>
        <v>Electronics</v>
      </c>
      <c r="D215" s="49" t="str">
        <f>IF(Table22[[#This Row],[Region]]=" ",$F$1,Table22[[#This Row],[Region]])</f>
        <v>North</v>
      </c>
    </row>
    <row r="216" spans="1:4" ht="15" thickBot="1">
      <c r="A216" s="25" t="s">
        <v>11</v>
      </c>
      <c r="B216" s="12" t="s">
        <v>27</v>
      </c>
      <c r="C216" s="50" t="str">
        <f>IF(Table22[[#This Row],[Region]]= " ",$F$1,Table22[[#This Row],[Category]])</f>
        <v>Furniture</v>
      </c>
      <c r="D216" s="50" t="str">
        <f>IF(Table22[[#This Row],[Region]]=" ",$F$1,Table22[[#This Row],[Region]])</f>
        <v>East</v>
      </c>
    </row>
    <row r="217" spans="1:4" ht="15" thickBot="1">
      <c r="A217" s="24" t="s">
        <v>11</v>
      </c>
      <c r="B217" s="21" t="s">
        <v>42</v>
      </c>
      <c r="C217" s="49" t="str">
        <f>IF(Table22[[#This Row],[Region]]= " ",$F$1,Table22[[#This Row],[Category]])</f>
        <v>Electronics</v>
      </c>
      <c r="D217" s="49" t="str">
        <f>IF(Table22[[#This Row],[Region]]=" ",$F$1,Table22[[#This Row],[Region]])</f>
        <v>East</v>
      </c>
    </row>
    <row r="218" spans="1:4" ht="15" thickBot="1">
      <c r="A218" s="25" t="s">
        <v>22</v>
      </c>
      <c r="B218" s="12" t="s">
        <v>42</v>
      </c>
      <c r="C218" s="50" t="str">
        <f>IF(Table22[[#This Row],[Region]]= " ",$F$1,Table22[[#This Row],[Category]])</f>
        <v>Electronics</v>
      </c>
      <c r="D218" s="50" t="str">
        <f>IF(Table22[[#This Row],[Region]]=" ",$F$1,Table22[[#This Row],[Region]])</f>
        <v>North</v>
      </c>
    </row>
    <row r="219" spans="1:4" ht="15" thickBot="1">
      <c r="A219" s="24" t="s">
        <v>17</v>
      </c>
      <c r="B219" s="21" t="s">
        <v>23</v>
      </c>
      <c r="C219" s="49" t="str">
        <f>IF(Table22[[#This Row],[Region]]= " ",$F$1,Table22[[#This Row],[Category]])</f>
        <v>Clothing</v>
      </c>
      <c r="D219" s="49" t="str">
        <f>IF(Table22[[#This Row],[Region]]=" ",$F$1,Table22[[#This Row],[Region]])</f>
        <v>West</v>
      </c>
    </row>
    <row r="220" spans="1:4" ht="15" thickBot="1">
      <c r="A220" s="25" t="s">
        <v>22</v>
      </c>
      <c r="B220" s="12" t="s">
        <v>13</v>
      </c>
      <c r="C220" s="50" t="str">
        <f>IF(Table22[[#This Row],[Region]]= " ",$F$1,Table22[[#This Row],[Category]])</f>
        <v>Beverages</v>
      </c>
      <c r="D220" s="50" t="str">
        <f>IF(Table22[[#This Row],[Region]]=" ",$F$1,Table22[[#This Row],[Region]])</f>
        <v>North</v>
      </c>
    </row>
    <row r="221" spans="1:4" ht="15" thickBot="1">
      <c r="A221" s="24" t="s">
        <v>17</v>
      </c>
      <c r="B221" s="21" t="s">
        <v>42</v>
      </c>
      <c r="C221" s="49" t="str">
        <f>IF(Table22[[#This Row],[Region]]= " ",$F$1,Table22[[#This Row],[Category]])</f>
        <v>Electronics</v>
      </c>
      <c r="D221" s="49" t="str">
        <f>IF(Table22[[#This Row],[Region]]=" ",$F$1,Table22[[#This Row],[Region]])</f>
        <v>West</v>
      </c>
    </row>
    <row r="222" spans="1:4" ht="15" thickBot="1">
      <c r="A222" s="25" t="s">
        <v>11</v>
      </c>
      <c r="B222" s="12" t="s">
        <v>27</v>
      </c>
      <c r="C222" s="50" t="str">
        <f>IF(Table22[[#This Row],[Region]]= " ",$F$1,Table22[[#This Row],[Category]])</f>
        <v>Furniture</v>
      </c>
      <c r="D222" s="50" t="str">
        <f>IF(Table22[[#This Row],[Region]]=" ",$F$1,Table22[[#This Row],[Region]])</f>
        <v>East</v>
      </c>
    </row>
    <row r="223" spans="1:4" ht="15" thickBot="1">
      <c r="A223" s="24" t="s">
        <v>11</v>
      </c>
      <c r="B223" s="21" t="s">
        <v>19</v>
      </c>
      <c r="C223" s="49" t="str">
        <f>IF(Table22[[#This Row],[Region]]= " ",$F$1,Table22[[#This Row],[Category]])</f>
        <v>Food</v>
      </c>
      <c r="D223" s="49" t="str">
        <f>IF(Table22[[#This Row],[Region]]=" ",$F$1,Table22[[#This Row],[Region]])</f>
        <v>East</v>
      </c>
    </row>
    <row r="224" spans="1:4" ht="15" thickBot="1">
      <c r="A224" s="25"/>
      <c r="B224" s="12" t="s">
        <v>42</v>
      </c>
      <c r="C224" s="50" t="str">
        <f>IF(Table22[[#This Row],[Region]]= " ",$F$1,Table22[[#This Row],[Category]])</f>
        <v>Electronics</v>
      </c>
      <c r="D224" s="50">
        <f>IF(Table22[[#This Row],[Region]]=" ",$F$1,Table22[[#This Row],[Region]])</f>
        <v>0</v>
      </c>
    </row>
    <row r="225" spans="1:4" ht="15" thickBot="1">
      <c r="A225" s="24" t="s">
        <v>48</v>
      </c>
      <c r="B225" s="21" t="s">
        <v>42</v>
      </c>
      <c r="C225" s="49" t="str">
        <f>IF(Table22[[#This Row],[Region]]= " ",$F$1,Table22[[#This Row],[Category]])</f>
        <v>Electronics</v>
      </c>
      <c r="D225" s="49" t="str">
        <f>IF(Table22[[#This Row],[Region]]=" ",$F$1,Table22[[#This Row],[Region]])</f>
        <v>South</v>
      </c>
    </row>
    <row r="226" spans="1:4" ht="15" thickBot="1">
      <c r="A226" s="25" t="s">
        <v>17</v>
      </c>
      <c r="B226" s="12" t="s">
        <v>23</v>
      </c>
      <c r="C226" s="50" t="str">
        <f>IF(Table22[[#This Row],[Region]]= " ",$F$1,Table22[[#This Row],[Category]])</f>
        <v>Clothing</v>
      </c>
      <c r="D226" s="50" t="str">
        <f>IF(Table22[[#This Row],[Region]]=" ",$F$1,Table22[[#This Row],[Region]])</f>
        <v>West</v>
      </c>
    </row>
    <row r="227" spans="1:4" ht="15" thickBot="1">
      <c r="A227" s="24" t="s">
        <v>48</v>
      </c>
      <c r="B227" s="21" t="s">
        <v>13</v>
      </c>
      <c r="C227" s="49" t="str">
        <f>IF(Table22[[#This Row],[Region]]= " ",$F$1,Table22[[#This Row],[Category]])</f>
        <v>Beverages</v>
      </c>
      <c r="D227" s="49" t="str">
        <f>IF(Table22[[#This Row],[Region]]=" ",$F$1,Table22[[#This Row],[Region]])</f>
        <v>South</v>
      </c>
    </row>
    <row r="228" spans="1:4" ht="15" thickBot="1">
      <c r="A228" s="25" t="s">
        <v>48</v>
      </c>
      <c r="B228" s="12" t="s">
        <v>19</v>
      </c>
      <c r="C228" s="50" t="str">
        <f>IF(Table22[[#This Row],[Region]]= " ",$F$1,Table22[[#This Row],[Category]])</f>
        <v>Food</v>
      </c>
      <c r="D228" s="50" t="str">
        <f>IF(Table22[[#This Row],[Region]]=" ",$F$1,Table22[[#This Row],[Region]])</f>
        <v>South</v>
      </c>
    </row>
    <row r="229" spans="1:4" ht="15" thickBot="1">
      <c r="A229" s="24" t="s">
        <v>22</v>
      </c>
      <c r="B229" s="21" t="s">
        <v>27</v>
      </c>
      <c r="C229" s="49" t="str">
        <f>IF(Table22[[#This Row],[Region]]= " ",$F$1,Table22[[#This Row],[Category]])</f>
        <v>Furniture</v>
      </c>
      <c r="D229" s="49" t="str">
        <f>IF(Table22[[#This Row],[Region]]=" ",$F$1,Table22[[#This Row],[Region]])</f>
        <v>North</v>
      </c>
    </row>
    <row r="230" spans="1:4" ht="15" thickBot="1">
      <c r="A230" s="25" t="s">
        <v>48</v>
      </c>
      <c r="B230" s="12" t="s">
        <v>19</v>
      </c>
      <c r="C230" s="50" t="str">
        <f>IF(Table22[[#This Row],[Region]]= " ",$F$1,Table22[[#This Row],[Category]])</f>
        <v>Food</v>
      </c>
      <c r="D230" s="50" t="str">
        <f>IF(Table22[[#This Row],[Region]]=" ",$F$1,Table22[[#This Row],[Region]])</f>
        <v>South</v>
      </c>
    </row>
    <row r="231" spans="1:4" ht="15" thickBot="1">
      <c r="A231" s="24" t="s">
        <v>22</v>
      </c>
      <c r="B231" s="21" t="s">
        <v>27</v>
      </c>
      <c r="C231" s="49" t="str">
        <f>IF(Table22[[#This Row],[Region]]= " ",$F$1,Table22[[#This Row],[Category]])</f>
        <v>Furniture</v>
      </c>
      <c r="D231" s="49" t="str">
        <f>IF(Table22[[#This Row],[Region]]=" ",$F$1,Table22[[#This Row],[Region]])</f>
        <v>North</v>
      </c>
    </row>
    <row r="232" spans="1:4" ht="15" thickBot="1">
      <c r="A232" s="25" t="s">
        <v>22</v>
      </c>
      <c r="B232" s="12" t="s">
        <v>13</v>
      </c>
      <c r="C232" s="50" t="str">
        <f>IF(Table22[[#This Row],[Region]]= " ",$F$1,Table22[[#This Row],[Category]])</f>
        <v>Beverages</v>
      </c>
      <c r="D232" s="50" t="str">
        <f>IF(Table22[[#This Row],[Region]]=" ",$F$1,Table22[[#This Row],[Region]])</f>
        <v>North</v>
      </c>
    </row>
    <row r="233" spans="1:4" ht="15" thickBot="1">
      <c r="A233" s="24" t="s">
        <v>48</v>
      </c>
      <c r="B233" s="21" t="s">
        <v>27</v>
      </c>
      <c r="C233" s="49" t="str">
        <f>IF(Table22[[#This Row],[Region]]= " ",$F$1,Table22[[#This Row],[Category]])</f>
        <v>Furniture</v>
      </c>
      <c r="D233" s="49" t="str">
        <f>IF(Table22[[#This Row],[Region]]=" ",$F$1,Table22[[#This Row],[Region]])</f>
        <v>South</v>
      </c>
    </row>
    <row r="234" spans="1:4" ht="15" thickBot="1">
      <c r="A234" s="25" t="s">
        <v>17</v>
      </c>
      <c r="B234" s="12" t="s">
        <v>23</v>
      </c>
      <c r="C234" s="50" t="str">
        <f>IF(Table22[[#This Row],[Region]]= " ",$F$1,Table22[[#This Row],[Category]])</f>
        <v>Clothing</v>
      </c>
      <c r="D234" s="50" t="str">
        <f>IF(Table22[[#This Row],[Region]]=" ",$F$1,Table22[[#This Row],[Region]])</f>
        <v>West</v>
      </c>
    </row>
    <row r="235" spans="1:4" ht="15" thickBot="1">
      <c r="A235" s="24" t="s">
        <v>17</v>
      </c>
      <c r="B235" s="21" t="s">
        <v>23</v>
      </c>
      <c r="C235" s="49" t="str">
        <f>IF(Table22[[#This Row],[Region]]= " ",$F$1,Table22[[#This Row],[Category]])</f>
        <v>Clothing</v>
      </c>
      <c r="D235" s="49" t="str">
        <f>IF(Table22[[#This Row],[Region]]=" ",$F$1,Table22[[#This Row],[Region]])</f>
        <v>West</v>
      </c>
    </row>
    <row r="236" spans="1:4" ht="15" thickBot="1">
      <c r="A236" s="25" t="s">
        <v>17</v>
      </c>
      <c r="B236" s="12" t="s">
        <v>23</v>
      </c>
      <c r="C236" s="50" t="str">
        <f>IF(Table22[[#This Row],[Region]]= " ",$F$1,Table22[[#This Row],[Category]])</f>
        <v>Clothing</v>
      </c>
      <c r="D236" s="50" t="str">
        <f>IF(Table22[[#This Row],[Region]]=" ",$F$1,Table22[[#This Row],[Region]])</f>
        <v>West</v>
      </c>
    </row>
    <row r="237" spans="1:4" ht="15" thickBot="1">
      <c r="A237" s="24" t="s">
        <v>17</v>
      </c>
      <c r="B237" s="21" t="s">
        <v>23</v>
      </c>
      <c r="C237" s="49" t="str">
        <f>IF(Table22[[#This Row],[Region]]= " ",$F$1,Table22[[#This Row],[Category]])</f>
        <v>Clothing</v>
      </c>
      <c r="D237" s="49" t="str">
        <f>IF(Table22[[#This Row],[Region]]=" ",$F$1,Table22[[#This Row],[Region]])</f>
        <v>West</v>
      </c>
    </row>
    <row r="238" spans="1:4" ht="15" thickBot="1">
      <c r="A238" s="25" t="s">
        <v>17</v>
      </c>
      <c r="B238" s="12" t="s">
        <v>19</v>
      </c>
      <c r="C238" s="50" t="str">
        <f>IF(Table22[[#This Row],[Region]]= " ",$F$1,Table22[[#This Row],[Category]])</f>
        <v>Food</v>
      </c>
      <c r="D238" s="50" t="str">
        <f>IF(Table22[[#This Row],[Region]]=" ",$F$1,Table22[[#This Row],[Region]])</f>
        <v>West</v>
      </c>
    </row>
    <row r="239" spans="1:4" ht="15" thickBot="1">
      <c r="A239" s="24" t="s">
        <v>48</v>
      </c>
      <c r="B239" s="21" t="s">
        <v>13</v>
      </c>
      <c r="C239" s="49" t="str">
        <f>IF(Table22[[#This Row],[Region]]= " ",$F$1,Table22[[#This Row],[Category]])</f>
        <v>Beverages</v>
      </c>
      <c r="D239" s="49" t="str">
        <f>IF(Table22[[#This Row],[Region]]=" ",$F$1,Table22[[#This Row],[Region]])</f>
        <v>South</v>
      </c>
    </row>
    <row r="240" spans="1:4" ht="15" thickBot="1">
      <c r="A240" s="25" t="s">
        <v>48</v>
      </c>
      <c r="B240" s="12" t="s">
        <v>27</v>
      </c>
      <c r="C240" s="50" t="str">
        <f>IF(Table22[[#This Row],[Region]]= " ",$F$1,Table22[[#This Row],[Category]])</f>
        <v>Furniture</v>
      </c>
      <c r="D240" s="50" t="str">
        <f>IF(Table22[[#This Row],[Region]]=" ",$F$1,Table22[[#This Row],[Region]])</f>
        <v>South</v>
      </c>
    </row>
    <row r="241" spans="1:4" ht="15" thickBot="1">
      <c r="A241" s="24" t="s">
        <v>11</v>
      </c>
      <c r="B241" s="21" t="s">
        <v>27</v>
      </c>
      <c r="C241" s="49" t="str">
        <f>IF(Table22[[#This Row],[Region]]= " ",$F$1,Table22[[#This Row],[Category]])</f>
        <v>Furniture</v>
      </c>
      <c r="D241" s="49" t="str">
        <f>IF(Table22[[#This Row],[Region]]=" ",$F$1,Table22[[#This Row],[Region]])</f>
        <v>East</v>
      </c>
    </row>
    <row r="242" spans="1:4" ht="15" thickBot="1">
      <c r="A242" s="25" t="s">
        <v>17</v>
      </c>
      <c r="B242" s="12" t="s">
        <v>23</v>
      </c>
      <c r="C242" s="50" t="str">
        <f>IF(Table22[[#This Row],[Region]]= " ",$F$1,Table22[[#This Row],[Category]])</f>
        <v>Clothing</v>
      </c>
      <c r="D242" s="50" t="str">
        <f>IF(Table22[[#This Row],[Region]]=" ",$F$1,Table22[[#This Row],[Region]])</f>
        <v>West</v>
      </c>
    </row>
    <row r="243" spans="1:4" ht="15" thickBot="1">
      <c r="A243" s="24" t="s">
        <v>48</v>
      </c>
      <c r="B243" s="21" t="s">
        <v>23</v>
      </c>
      <c r="C243" s="49" t="str">
        <f>IF(Table22[[#This Row],[Region]]= " ",$F$1,Table22[[#This Row],[Category]])</f>
        <v>Clothing</v>
      </c>
      <c r="D243" s="49" t="str">
        <f>IF(Table22[[#This Row],[Region]]=" ",$F$1,Table22[[#This Row],[Region]])</f>
        <v>South</v>
      </c>
    </row>
    <row r="244" spans="1:4" ht="15" thickBot="1">
      <c r="A244" s="25" t="s">
        <v>11</v>
      </c>
      <c r="B244" s="12" t="s">
        <v>42</v>
      </c>
      <c r="C244" s="50" t="str">
        <f>IF(Table22[[#This Row],[Region]]= " ",$F$1,Table22[[#This Row],[Category]])</f>
        <v>Electronics</v>
      </c>
      <c r="D244" s="50" t="str">
        <f>IF(Table22[[#This Row],[Region]]=" ",$F$1,Table22[[#This Row],[Region]])</f>
        <v>East</v>
      </c>
    </row>
    <row r="245" spans="1:4" ht="15" thickBot="1">
      <c r="A245" s="24" t="s">
        <v>17</v>
      </c>
      <c r="B245" s="21" t="s">
        <v>13</v>
      </c>
      <c r="C245" s="49" t="str">
        <f>IF(Table22[[#This Row],[Region]]= " ",$F$1,Table22[[#This Row],[Category]])</f>
        <v>Beverages</v>
      </c>
      <c r="D245" s="49" t="str">
        <f>IF(Table22[[#This Row],[Region]]=" ",$F$1,Table22[[#This Row],[Region]])</f>
        <v>West</v>
      </c>
    </row>
    <row r="246" spans="1:4" ht="15" thickBot="1">
      <c r="A246" s="25" t="s">
        <v>22</v>
      </c>
      <c r="B246" s="12" t="s">
        <v>19</v>
      </c>
      <c r="C246" s="50" t="str">
        <f>IF(Table22[[#This Row],[Region]]= " ",$F$1,Table22[[#This Row],[Category]])</f>
        <v>Food</v>
      </c>
      <c r="D246" s="50" t="str">
        <f>IF(Table22[[#This Row],[Region]]=" ",$F$1,Table22[[#This Row],[Region]])</f>
        <v>North</v>
      </c>
    </row>
    <row r="247" spans="1:4" ht="15" thickBot="1">
      <c r="A247" s="24" t="s">
        <v>11</v>
      </c>
      <c r="B247" s="21" t="s">
        <v>27</v>
      </c>
      <c r="C247" s="49" t="str">
        <f>IF(Table22[[#This Row],[Region]]= " ",$F$1,Table22[[#This Row],[Category]])</f>
        <v>Furniture</v>
      </c>
      <c r="D247" s="49" t="str">
        <f>IF(Table22[[#This Row],[Region]]=" ",$F$1,Table22[[#This Row],[Region]])</f>
        <v>East</v>
      </c>
    </row>
    <row r="248" spans="1:4" ht="15" thickBot="1">
      <c r="A248" s="25" t="s">
        <v>48</v>
      </c>
      <c r="B248" s="12" t="s">
        <v>42</v>
      </c>
      <c r="C248" s="50" t="str">
        <f>IF(Table22[[#This Row],[Region]]= " ",$F$1,Table22[[#This Row],[Category]])</f>
        <v>Electronics</v>
      </c>
      <c r="D248" s="50" t="str">
        <f>IF(Table22[[#This Row],[Region]]=" ",$F$1,Table22[[#This Row],[Region]])</f>
        <v>South</v>
      </c>
    </row>
    <row r="249" spans="1:4" ht="15" thickBot="1">
      <c r="A249" s="24" t="s">
        <v>22</v>
      </c>
      <c r="B249" s="21" t="s">
        <v>42</v>
      </c>
      <c r="C249" s="49" t="str">
        <f>IF(Table22[[#This Row],[Region]]= " ",$F$1,Table22[[#This Row],[Category]])</f>
        <v>Electronics</v>
      </c>
      <c r="D249" s="49" t="str">
        <f>IF(Table22[[#This Row],[Region]]=" ",$F$1,Table22[[#This Row],[Region]])</f>
        <v>North</v>
      </c>
    </row>
    <row r="250" spans="1:4" ht="15" thickBot="1">
      <c r="A250" s="25" t="s">
        <v>22</v>
      </c>
      <c r="B250" s="12" t="s">
        <v>27</v>
      </c>
      <c r="C250" s="50" t="str">
        <f>IF(Table22[[#This Row],[Region]]= " ",$F$1,Table22[[#This Row],[Category]])</f>
        <v>Furniture</v>
      </c>
      <c r="D250" s="50" t="str">
        <f>IF(Table22[[#This Row],[Region]]=" ",$F$1,Table22[[#This Row],[Region]])</f>
        <v>North</v>
      </c>
    </row>
    <row r="251" spans="1:4" ht="15" thickBot="1">
      <c r="A251" s="24" t="s">
        <v>22</v>
      </c>
      <c r="B251" s="21" t="s">
        <v>19</v>
      </c>
      <c r="C251" s="49" t="str">
        <f>IF(Table22[[#This Row],[Region]]= " ",$F$1,Table22[[#This Row],[Category]])</f>
        <v>Food</v>
      </c>
      <c r="D251" s="49" t="str">
        <f>IF(Table22[[#This Row],[Region]]=" ",$F$1,Table22[[#This Row],[Region]])</f>
        <v>North</v>
      </c>
    </row>
    <row r="252" spans="1:4" ht="15" thickBot="1">
      <c r="A252" s="25" t="s">
        <v>11</v>
      </c>
      <c r="B252" s="12" t="s">
        <v>42</v>
      </c>
      <c r="C252" s="50" t="str">
        <f>IF(Table22[[#This Row],[Region]]= " ",$F$1,Table22[[#This Row],[Category]])</f>
        <v>Electronics</v>
      </c>
      <c r="D252" s="50" t="str">
        <f>IF(Table22[[#This Row],[Region]]=" ",$F$1,Table22[[#This Row],[Region]])</f>
        <v>East</v>
      </c>
    </row>
    <row r="253" spans="1:4" ht="15" thickBot="1">
      <c r="A253" s="24" t="s">
        <v>48</v>
      </c>
      <c r="B253" s="21" t="s">
        <v>42</v>
      </c>
      <c r="C253" s="49" t="str">
        <f>IF(Table22[[#This Row],[Region]]= " ",$F$1,Table22[[#This Row],[Category]])</f>
        <v>Electronics</v>
      </c>
      <c r="D253" s="49" t="str">
        <f>IF(Table22[[#This Row],[Region]]=" ",$F$1,Table22[[#This Row],[Region]])</f>
        <v>South</v>
      </c>
    </row>
    <row r="254" spans="1:4" ht="15" thickBot="1">
      <c r="A254" s="25" t="s">
        <v>22</v>
      </c>
      <c r="B254" s="12" t="s">
        <v>13</v>
      </c>
      <c r="C254" s="50" t="str">
        <f>IF(Table22[[#This Row],[Region]]= " ",$F$1,Table22[[#This Row],[Category]])</f>
        <v>Beverages</v>
      </c>
      <c r="D254" s="50" t="str">
        <f>IF(Table22[[#This Row],[Region]]=" ",$F$1,Table22[[#This Row],[Region]])</f>
        <v>North</v>
      </c>
    </row>
    <row r="255" spans="1:4" ht="15" thickBot="1">
      <c r="A255" s="24" t="s">
        <v>17</v>
      </c>
      <c r="B255" s="21"/>
      <c r="C255" s="49">
        <f>IF(Table22[[#This Row],[Region]]= " ",$F$1,Table22[[#This Row],[Category]])</f>
        <v>0</v>
      </c>
      <c r="D255" s="49" t="str">
        <f>IF(Table22[[#This Row],[Region]]=" ",$F$1,Table22[[#This Row],[Region]])</f>
        <v>West</v>
      </c>
    </row>
    <row r="256" spans="1:4" ht="15" thickBot="1">
      <c r="A256" s="25" t="s">
        <v>22</v>
      </c>
      <c r="B256" s="12" t="s">
        <v>42</v>
      </c>
      <c r="C256" s="50" t="str">
        <f>IF(Table22[[#This Row],[Region]]= " ",$F$1,Table22[[#This Row],[Category]])</f>
        <v>Electronics</v>
      </c>
      <c r="D256" s="50" t="str">
        <f>IF(Table22[[#This Row],[Region]]=" ",$F$1,Table22[[#This Row],[Region]])</f>
        <v>North</v>
      </c>
    </row>
    <row r="257" spans="1:4" ht="15" thickBot="1">
      <c r="A257" s="24" t="s">
        <v>22</v>
      </c>
      <c r="B257" s="21" t="s">
        <v>19</v>
      </c>
      <c r="C257" s="49" t="str">
        <f>IF(Table22[[#This Row],[Region]]= " ",$F$1,Table22[[#This Row],[Category]])</f>
        <v>Food</v>
      </c>
      <c r="D257" s="49" t="str">
        <f>IF(Table22[[#This Row],[Region]]=" ",$F$1,Table22[[#This Row],[Region]])</f>
        <v>North</v>
      </c>
    </row>
    <row r="258" spans="1:4" ht="15" thickBot="1">
      <c r="A258" s="25" t="s">
        <v>11</v>
      </c>
      <c r="B258" s="12" t="s">
        <v>27</v>
      </c>
      <c r="C258" s="50" t="str">
        <f>IF(Table22[[#This Row],[Region]]= " ",$F$1,Table22[[#This Row],[Category]])</f>
        <v>Furniture</v>
      </c>
      <c r="D258" s="50" t="str">
        <f>IF(Table22[[#This Row],[Region]]=" ",$F$1,Table22[[#This Row],[Region]])</f>
        <v>East</v>
      </c>
    </row>
    <row r="259" spans="1:4" ht="15" thickBot="1">
      <c r="A259" s="24" t="s">
        <v>11</v>
      </c>
      <c r="B259" s="21" t="s">
        <v>23</v>
      </c>
      <c r="C259" s="49" t="str">
        <f>IF(Table22[[#This Row],[Region]]= " ",$F$1,Table22[[#This Row],[Category]])</f>
        <v>Clothing</v>
      </c>
      <c r="D259" s="49" t="str">
        <f>IF(Table22[[#This Row],[Region]]=" ",$F$1,Table22[[#This Row],[Region]])</f>
        <v>East</v>
      </c>
    </row>
    <row r="260" spans="1:4" ht="15" thickBot="1">
      <c r="A260" s="25" t="s">
        <v>48</v>
      </c>
      <c r="B260" s="12" t="s">
        <v>42</v>
      </c>
      <c r="C260" s="50" t="str">
        <f>IF(Table22[[#This Row],[Region]]= " ",$F$1,Table22[[#This Row],[Category]])</f>
        <v>Electronics</v>
      </c>
      <c r="D260" s="50" t="str">
        <f>IF(Table22[[#This Row],[Region]]=" ",$F$1,Table22[[#This Row],[Region]])</f>
        <v>South</v>
      </c>
    </row>
    <row r="261" spans="1:4" ht="15" thickBot="1">
      <c r="A261" s="24" t="s">
        <v>17</v>
      </c>
      <c r="B261" s="21" t="s">
        <v>13</v>
      </c>
      <c r="C261" s="49" t="str">
        <f>IF(Table22[[#This Row],[Region]]= " ",$F$1,Table22[[#This Row],[Category]])</f>
        <v>Beverages</v>
      </c>
      <c r="D261" s="49" t="str">
        <f>IF(Table22[[#This Row],[Region]]=" ",$F$1,Table22[[#This Row],[Region]])</f>
        <v>West</v>
      </c>
    </row>
    <row r="262" spans="1:4" ht="15" thickBot="1">
      <c r="A262" s="25" t="s">
        <v>11</v>
      </c>
      <c r="B262" s="12" t="s">
        <v>27</v>
      </c>
      <c r="C262" s="50" t="str">
        <f>IF(Table22[[#This Row],[Region]]= " ",$F$1,Table22[[#This Row],[Category]])</f>
        <v>Furniture</v>
      </c>
      <c r="D262" s="50" t="str">
        <f>IF(Table22[[#This Row],[Region]]=" ",$F$1,Table22[[#This Row],[Region]])</f>
        <v>East</v>
      </c>
    </row>
    <row r="263" spans="1:4" ht="15" thickBot="1">
      <c r="A263" s="24" t="s">
        <v>22</v>
      </c>
      <c r="B263" s="21" t="s">
        <v>19</v>
      </c>
      <c r="C263" s="49" t="str">
        <f>IF(Table22[[#This Row],[Region]]= " ",$F$1,Table22[[#This Row],[Category]])</f>
        <v>Food</v>
      </c>
      <c r="D263" s="49" t="str">
        <f>IF(Table22[[#This Row],[Region]]=" ",$F$1,Table22[[#This Row],[Region]])</f>
        <v>North</v>
      </c>
    </row>
    <row r="264" spans="1:4" ht="15" thickBot="1">
      <c r="A264" s="25" t="s">
        <v>48</v>
      </c>
      <c r="B264" s="12" t="s">
        <v>27</v>
      </c>
      <c r="C264" s="50" t="str">
        <f>IF(Table22[[#This Row],[Region]]= " ",$F$1,Table22[[#This Row],[Category]])</f>
        <v>Furniture</v>
      </c>
      <c r="D264" s="50" t="str">
        <f>IF(Table22[[#This Row],[Region]]=" ",$F$1,Table22[[#This Row],[Region]])</f>
        <v>South</v>
      </c>
    </row>
    <row r="265" spans="1:4" ht="15" thickBot="1">
      <c r="A265" s="24" t="s">
        <v>22</v>
      </c>
      <c r="B265" s="21" t="s">
        <v>42</v>
      </c>
      <c r="C265" s="49" t="str">
        <f>IF(Table22[[#This Row],[Region]]= " ",$F$1,Table22[[#This Row],[Category]])</f>
        <v>Electronics</v>
      </c>
      <c r="D265" s="49" t="str">
        <f>IF(Table22[[#This Row],[Region]]=" ",$F$1,Table22[[#This Row],[Region]])</f>
        <v>North</v>
      </c>
    </row>
    <row r="266" spans="1:4" ht="15" thickBot="1">
      <c r="A266" s="25" t="s">
        <v>22</v>
      </c>
      <c r="B266" s="12"/>
      <c r="C266" s="50">
        <f>IF(Table22[[#This Row],[Region]]= " ",$F$1,Table22[[#This Row],[Category]])</f>
        <v>0</v>
      </c>
      <c r="D266" s="50" t="str">
        <f>IF(Table22[[#This Row],[Region]]=" ",$F$1,Table22[[#This Row],[Region]])</f>
        <v>North</v>
      </c>
    </row>
    <row r="267" spans="1:4" ht="15" thickBot="1">
      <c r="A267" s="24" t="s">
        <v>11</v>
      </c>
      <c r="B267" s="21" t="s">
        <v>23</v>
      </c>
      <c r="C267" s="49" t="str">
        <f>IF(Table22[[#This Row],[Region]]= " ",$F$1,Table22[[#This Row],[Category]])</f>
        <v>Clothing</v>
      </c>
      <c r="D267" s="49" t="str">
        <f>IF(Table22[[#This Row],[Region]]=" ",$F$1,Table22[[#This Row],[Region]])</f>
        <v>East</v>
      </c>
    </row>
    <row r="268" spans="1:4" ht="15" thickBot="1">
      <c r="A268" s="25" t="s">
        <v>48</v>
      </c>
      <c r="B268" s="12" t="s">
        <v>27</v>
      </c>
      <c r="C268" s="50" t="str">
        <f>IF(Table22[[#This Row],[Region]]= " ",$F$1,Table22[[#This Row],[Category]])</f>
        <v>Furniture</v>
      </c>
      <c r="D268" s="50" t="str">
        <f>IF(Table22[[#This Row],[Region]]=" ",$F$1,Table22[[#This Row],[Region]])</f>
        <v>South</v>
      </c>
    </row>
    <row r="269" spans="1:4" ht="15" thickBot="1">
      <c r="A269" s="24" t="s">
        <v>17</v>
      </c>
      <c r="B269" s="21" t="s">
        <v>42</v>
      </c>
      <c r="C269" s="49" t="str">
        <f>IF(Table22[[#This Row],[Region]]= " ",$F$1,Table22[[#This Row],[Category]])</f>
        <v>Electronics</v>
      </c>
      <c r="D269" s="49" t="str">
        <f>IF(Table22[[#This Row],[Region]]=" ",$F$1,Table22[[#This Row],[Region]])</f>
        <v>West</v>
      </c>
    </row>
    <row r="270" spans="1:4" ht="15" thickBot="1">
      <c r="A270" s="25" t="s">
        <v>17</v>
      </c>
      <c r="B270" s="12" t="s">
        <v>13</v>
      </c>
      <c r="C270" s="50" t="str">
        <f>IF(Table22[[#This Row],[Region]]= " ",$F$1,Table22[[#This Row],[Category]])</f>
        <v>Beverages</v>
      </c>
      <c r="D270" s="50" t="str">
        <f>IF(Table22[[#This Row],[Region]]=" ",$F$1,Table22[[#This Row],[Region]])</f>
        <v>West</v>
      </c>
    </row>
    <row r="271" spans="1:4" ht="15" thickBot="1">
      <c r="A271" s="24" t="s">
        <v>11</v>
      </c>
      <c r="B271" s="21" t="s">
        <v>19</v>
      </c>
      <c r="C271" s="49" t="str">
        <f>IF(Table22[[#This Row],[Region]]= " ",$F$1,Table22[[#This Row],[Category]])</f>
        <v>Food</v>
      </c>
      <c r="D271" s="49" t="str">
        <f>IF(Table22[[#This Row],[Region]]=" ",$F$1,Table22[[#This Row],[Region]])</f>
        <v>East</v>
      </c>
    </row>
    <row r="272" spans="1:4" ht="15" thickBot="1">
      <c r="A272" s="25" t="s">
        <v>11</v>
      </c>
      <c r="B272" s="12" t="s">
        <v>27</v>
      </c>
      <c r="C272" s="50" t="str">
        <f>IF(Table22[[#This Row],[Region]]= " ",$F$1,Table22[[#This Row],[Category]])</f>
        <v>Furniture</v>
      </c>
      <c r="D272" s="50" t="str">
        <f>IF(Table22[[#This Row],[Region]]=" ",$F$1,Table22[[#This Row],[Region]])</f>
        <v>East</v>
      </c>
    </row>
    <row r="273" spans="1:4" ht="15" thickBot="1">
      <c r="A273" s="24" t="s">
        <v>48</v>
      </c>
      <c r="B273" s="21" t="s">
        <v>27</v>
      </c>
      <c r="C273" s="49" t="str">
        <f>IF(Table22[[#This Row],[Region]]= " ",$F$1,Table22[[#This Row],[Category]])</f>
        <v>Furniture</v>
      </c>
      <c r="D273" s="49" t="str">
        <f>IF(Table22[[#This Row],[Region]]=" ",$F$1,Table22[[#This Row],[Region]])</f>
        <v>South</v>
      </c>
    </row>
    <row r="274" spans="1:4" ht="15" thickBot="1">
      <c r="A274" s="25" t="s">
        <v>17</v>
      </c>
      <c r="B274" s="12" t="s">
        <v>23</v>
      </c>
      <c r="C274" s="50" t="str">
        <f>IF(Table22[[#This Row],[Region]]= " ",$F$1,Table22[[#This Row],[Category]])</f>
        <v>Clothing</v>
      </c>
      <c r="D274" s="50" t="str">
        <f>IF(Table22[[#This Row],[Region]]=" ",$F$1,Table22[[#This Row],[Region]])</f>
        <v>West</v>
      </c>
    </row>
    <row r="275" spans="1:4" ht="15" thickBot="1">
      <c r="A275" s="24" t="s">
        <v>17</v>
      </c>
      <c r="B275" s="21" t="s">
        <v>23</v>
      </c>
      <c r="C275" s="49" t="str">
        <f>IF(Table22[[#This Row],[Region]]= " ",$F$1,Table22[[#This Row],[Category]])</f>
        <v>Clothing</v>
      </c>
      <c r="D275" s="49" t="str">
        <f>IF(Table22[[#This Row],[Region]]=" ",$F$1,Table22[[#This Row],[Region]])</f>
        <v>West</v>
      </c>
    </row>
    <row r="276" spans="1:4" ht="15" thickBot="1">
      <c r="A276" s="25" t="s">
        <v>17</v>
      </c>
      <c r="B276" s="12" t="s">
        <v>13</v>
      </c>
      <c r="C276" s="50" t="str">
        <f>IF(Table22[[#This Row],[Region]]= " ",$F$1,Table22[[#This Row],[Category]])</f>
        <v>Beverages</v>
      </c>
      <c r="D276" s="50" t="str">
        <f>IF(Table22[[#This Row],[Region]]=" ",$F$1,Table22[[#This Row],[Region]])</f>
        <v>West</v>
      </c>
    </row>
    <row r="277" spans="1:4" ht="15" thickBot="1">
      <c r="A277" s="24" t="s">
        <v>22</v>
      </c>
      <c r="B277" s="21" t="s">
        <v>13</v>
      </c>
      <c r="C277" s="49" t="str">
        <f>IF(Table22[[#This Row],[Region]]= " ",$F$1,Table22[[#This Row],[Category]])</f>
        <v>Beverages</v>
      </c>
      <c r="D277" s="49" t="str">
        <f>IF(Table22[[#This Row],[Region]]=" ",$F$1,Table22[[#This Row],[Region]])</f>
        <v>North</v>
      </c>
    </row>
    <row r="278" spans="1:4" ht="15" thickBot="1">
      <c r="A278" s="25" t="s">
        <v>17</v>
      </c>
      <c r="B278" s="12" t="s">
        <v>42</v>
      </c>
      <c r="C278" s="50" t="str">
        <f>IF(Table22[[#This Row],[Region]]= " ",$F$1,Table22[[#This Row],[Category]])</f>
        <v>Electronics</v>
      </c>
      <c r="D278" s="50" t="str">
        <f>IF(Table22[[#This Row],[Region]]=" ",$F$1,Table22[[#This Row],[Region]])</f>
        <v>West</v>
      </c>
    </row>
    <row r="279" spans="1:4" ht="15" thickBot="1">
      <c r="A279" s="24" t="s">
        <v>22</v>
      </c>
      <c r="B279" s="21" t="s">
        <v>42</v>
      </c>
      <c r="C279" s="49" t="str">
        <f>IF(Table22[[#This Row],[Region]]= " ",$F$1,Table22[[#This Row],[Category]])</f>
        <v>Electronics</v>
      </c>
      <c r="D279" s="49" t="str">
        <f>IF(Table22[[#This Row],[Region]]=" ",$F$1,Table22[[#This Row],[Region]])</f>
        <v>North</v>
      </c>
    </row>
    <row r="280" spans="1:4" ht="15" thickBot="1">
      <c r="A280" s="25" t="s">
        <v>48</v>
      </c>
      <c r="B280" s="12" t="s">
        <v>13</v>
      </c>
      <c r="C280" s="50" t="str">
        <f>IF(Table22[[#This Row],[Region]]= " ",$F$1,Table22[[#This Row],[Category]])</f>
        <v>Beverages</v>
      </c>
      <c r="D280" s="50" t="str">
        <f>IF(Table22[[#This Row],[Region]]=" ",$F$1,Table22[[#This Row],[Region]])</f>
        <v>South</v>
      </c>
    </row>
    <row r="281" spans="1:4" ht="15" thickBot="1">
      <c r="A281" s="24" t="s">
        <v>22</v>
      </c>
      <c r="B281" s="21" t="s">
        <v>13</v>
      </c>
      <c r="C281" s="49" t="str">
        <f>IF(Table22[[#This Row],[Region]]= " ",$F$1,Table22[[#This Row],[Category]])</f>
        <v>Beverages</v>
      </c>
      <c r="D281" s="49" t="str">
        <f>IF(Table22[[#This Row],[Region]]=" ",$F$1,Table22[[#This Row],[Region]])</f>
        <v>North</v>
      </c>
    </row>
    <row r="282" spans="1:4" ht="15" thickBot="1">
      <c r="A282" s="25" t="s">
        <v>48</v>
      </c>
      <c r="B282" s="12" t="s">
        <v>19</v>
      </c>
      <c r="C282" s="50" t="str">
        <f>IF(Table22[[#This Row],[Region]]= " ",$F$1,Table22[[#This Row],[Category]])</f>
        <v>Food</v>
      </c>
      <c r="D282" s="50" t="str">
        <f>IF(Table22[[#This Row],[Region]]=" ",$F$1,Table22[[#This Row],[Region]])</f>
        <v>South</v>
      </c>
    </row>
    <row r="283" spans="1:4" ht="15" thickBot="1">
      <c r="A283" s="24" t="s">
        <v>17</v>
      </c>
      <c r="B283" s="21" t="s">
        <v>23</v>
      </c>
      <c r="C283" s="49" t="str">
        <f>IF(Table22[[#This Row],[Region]]= " ",$F$1,Table22[[#This Row],[Category]])</f>
        <v>Clothing</v>
      </c>
      <c r="D283" s="49" t="str">
        <f>IF(Table22[[#This Row],[Region]]=" ",$F$1,Table22[[#This Row],[Region]])</f>
        <v>West</v>
      </c>
    </row>
    <row r="284" spans="1:4" ht="15" thickBot="1">
      <c r="A284" s="25" t="s">
        <v>17</v>
      </c>
      <c r="B284" s="12" t="s">
        <v>42</v>
      </c>
      <c r="C284" s="50" t="str">
        <f>IF(Table22[[#This Row],[Region]]= " ",$F$1,Table22[[#This Row],[Category]])</f>
        <v>Electronics</v>
      </c>
      <c r="D284" s="50" t="str">
        <f>IF(Table22[[#This Row],[Region]]=" ",$F$1,Table22[[#This Row],[Region]])</f>
        <v>West</v>
      </c>
    </row>
    <row r="285" spans="1:4" ht="15" thickBot="1">
      <c r="A285" s="24" t="s">
        <v>48</v>
      </c>
      <c r="B285" s="21" t="s">
        <v>23</v>
      </c>
      <c r="C285" s="49" t="str">
        <f>IF(Table22[[#This Row],[Region]]= " ",$F$1,Table22[[#This Row],[Category]])</f>
        <v>Clothing</v>
      </c>
      <c r="D285" s="49" t="str">
        <f>IF(Table22[[#This Row],[Region]]=" ",$F$1,Table22[[#This Row],[Region]])</f>
        <v>South</v>
      </c>
    </row>
    <row r="286" spans="1:4" ht="15" thickBot="1">
      <c r="A286" s="25" t="s">
        <v>11</v>
      </c>
      <c r="B286" s="12"/>
      <c r="C286" s="50">
        <f>IF(Table22[[#This Row],[Region]]= " ",$F$1,Table22[[#This Row],[Category]])</f>
        <v>0</v>
      </c>
      <c r="D286" s="50" t="str">
        <f>IF(Table22[[#This Row],[Region]]=" ",$F$1,Table22[[#This Row],[Region]])</f>
        <v>East</v>
      </c>
    </row>
    <row r="287" spans="1:4" ht="15" thickBot="1">
      <c r="A287" s="24" t="s">
        <v>48</v>
      </c>
      <c r="B287" s="21" t="s">
        <v>13</v>
      </c>
      <c r="C287" s="49" t="str">
        <f>IF(Table22[[#This Row],[Region]]= " ",$F$1,Table22[[#This Row],[Category]])</f>
        <v>Beverages</v>
      </c>
      <c r="D287" s="49" t="str">
        <f>IF(Table22[[#This Row],[Region]]=" ",$F$1,Table22[[#This Row],[Region]])</f>
        <v>South</v>
      </c>
    </row>
    <row r="288" spans="1:4" ht="15" thickBot="1">
      <c r="A288" s="25" t="s">
        <v>11</v>
      </c>
      <c r="B288" s="12" t="s">
        <v>19</v>
      </c>
      <c r="C288" s="50" t="str">
        <f>IF(Table22[[#This Row],[Region]]= " ",$F$1,Table22[[#This Row],[Category]])</f>
        <v>Food</v>
      </c>
      <c r="D288" s="50" t="str">
        <f>IF(Table22[[#This Row],[Region]]=" ",$F$1,Table22[[#This Row],[Region]])</f>
        <v>East</v>
      </c>
    </row>
    <row r="289" spans="1:4" ht="15" thickBot="1">
      <c r="A289" s="24" t="s">
        <v>22</v>
      </c>
      <c r="B289" s="21" t="s">
        <v>27</v>
      </c>
      <c r="C289" s="49" t="str">
        <f>IF(Table22[[#This Row],[Region]]= " ",$F$1,Table22[[#This Row],[Category]])</f>
        <v>Furniture</v>
      </c>
      <c r="D289" s="49" t="str">
        <f>IF(Table22[[#This Row],[Region]]=" ",$F$1,Table22[[#This Row],[Region]])</f>
        <v>North</v>
      </c>
    </row>
    <row r="290" spans="1:4" ht="15" thickBot="1">
      <c r="A290" s="25" t="s">
        <v>22</v>
      </c>
      <c r="B290" s="12" t="s">
        <v>19</v>
      </c>
      <c r="C290" s="50" t="str">
        <f>IF(Table22[[#This Row],[Region]]= " ",$F$1,Table22[[#This Row],[Category]])</f>
        <v>Food</v>
      </c>
      <c r="D290" s="50" t="str">
        <f>IF(Table22[[#This Row],[Region]]=" ",$F$1,Table22[[#This Row],[Region]])</f>
        <v>North</v>
      </c>
    </row>
    <row r="291" spans="1:4" ht="15" thickBot="1">
      <c r="A291" s="24" t="s">
        <v>22</v>
      </c>
      <c r="B291" s="21" t="s">
        <v>19</v>
      </c>
      <c r="C291" s="49" t="str">
        <f>IF(Table22[[#This Row],[Region]]= " ",$F$1,Table22[[#This Row],[Category]])</f>
        <v>Food</v>
      </c>
      <c r="D291" s="49" t="str">
        <f>IF(Table22[[#This Row],[Region]]=" ",$F$1,Table22[[#This Row],[Region]])</f>
        <v>North</v>
      </c>
    </row>
    <row r="292" spans="1:4" ht="15" thickBot="1">
      <c r="A292" s="25" t="s">
        <v>17</v>
      </c>
      <c r="B292" s="12" t="s">
        <v>23</v>
      </c>
      <c r="C292" s="50" t="str">
        <f>IF(Table22[[#This Row],[Region]]= " ",$F$1,Table22[[#This Row],[Category]])</f>
        <v>Clothing</v>
      </c>
      <c r="D292" s="50" t="str">
        <f>IF(Table22[[#This Row],[Region]]=" ",$F$1,Table22[[#This Row],[Region]])</f>
        <v>West</v>
      </c>
    </row>
    <row r="293" spans="1:4" ht="15" thickBot="1">
      <c r="A293" s="24" t="s">
        <v>22</v>
      </c>
      <c r="B293" s="21" t="s">
        <v>19</v>
      </c>
      <c r="C293" s="49" t="str">
        <f>IF(Table22[[#This Row],[Region]]= " ",$F$1,Table22[[#This Row],[Category]])</f>
        <v>Food</v>
      </c>
      <c r="D293" s="49" t="str">
        <f>IF(Table22[[#This Row],[Region]]=" ",$F$1,Table22[[#This Row],[Region]])</f>
        <v>North</v>
      </c>
    </row>
    <row r="294" spans="1:4" ht="15" thickBot="1">
      <c r="A294" s="25" t="s">
        <v>11</v>
      </c>
      <c r="B294" s="12" t="s">
        <v>42</v>
      </c>
      <c r="C294" s="50" t="str">
        <f>IF(Table22[[#This Row],[Region]]= " ",$F$1,Table22[[#This Row],[Category]])</f>
        <v>Electronics</v>
      </c>
      <c r="D294" s="50" t="str">
        <f>IF(Table22[[#This Row],[Region]]=" ",$F$1,Table22[[#This Row],[Region]])</f>
        <v>East</v>
      </c>
    </row>
    <row r="295" spans="1:4" ht="15" thickBot="1">
      <c r="A295" s="24" t="s">
        <v>22</v>
      </c>
      <c r="B295" s="21" t="s">
        <v>23</v>
      </c>
      <c r="C295" s="49" t="str">
        <f>IF(Table22[[#This Row],[Region]]= " ",$F$1,Table22[[#This Row],[Category]])</f>
        <v>Clothing</v>
      </c>
      <c r="D295" s="49" t="str">
        <f>IF(Table22[[#This Row],[Region]]=" ",$F$1,Table22[[#This Row],[Region]])</f>
        <v>North</v>
      </c>
    </row>
    <row r="296" spans="1:4" ht="15" thickBot="1">
      <c r="A296" s="25" t="s">
        <v>48</v>
      </c>
      <c r="B296" s="12" t="s">
        <v>42</v>
      </c>
      <c r="C296" s="50" t="str">
        <f>IF(Table22[[#This Row],[Region]]= " ",$F$1,Table22[[#This Row],[Category]])</f>
        <v>Electronics</v>
      </c>
      <c r="D296" s="50" t="str">
        <f>IF(Table22[[#This Row],[Region]]=" ",$F$1,Table22[[#This Row],[Region]])</f>
        <v>South</v>
      </c>
    </row>
    <row r="297" spans="1:4" ht="15" thickBot="1">
      <c r="A297" s="24" t="s">
        <v>48</v>
      </c>
      <c r="B297" s="21" t="s">
        <v>27</v>
      </c>
      <c r="C297" s="49" t="str">
        <f>IF(Table22[[#This Row],[Region]]= " ",$F$1,Table22[[#This Row],[Category]])</f>
        <v>Furniture</v>
      </c>
      <c r="D297" s="49" t="str">
        <f>IF(Table22[[#This Row],[Region]]=" ",$F$1,Table22[[#This Row],[Region]])</f>
        <v>South</v>
      </c>
    </row>
    <row r="298" spans="1:4" ht="15" thickBot="1">
      <c r="A298" s="25" t="s">
        <v>17</v>
      </c>
      <c r="B298" s="12" t="s">
        <v>23</v>
      </c>
      <c r="C298" s="50" t="str">
        <f>IF(Table22[[#This Row],[Region]]= " ",$F$1,Table22[[#This Row],[Category]])</f>
        <v>Clothing</v>
      </c>
      <c r="D298" s="50" t="str">
        <f>IF(Table22[[#This Row],[Region]]=" ",$F$1,Table22[[#This Row],[Region]])</f>
        <v>West</v>
      </c>
    </row>
    <row r="299" spans="1:4" ht="15" thickBot="1">
      <c r="A299" s="24" t="s">
        <v>48</v>
      </c>
      <c r="B299" s="21" t="s">
        <v>27</v>
      </c>
      <c r="C299" s="49" t="str">
        <f>IF(Table22[[#This Row],[Region]]= " ",$F$1,Table22[[#This Row],[Category]])</f>
        <v>Furniture</v>
      </c>
      <c r="D299" s="49" t="str">
        <f>IF(Table22[[#This Row],[Region]]=" ",$F$1,Table22[[#This Row],[Region]])</f>
        <v>South</v>
      </c>
    </row>
    <row r="300" spans="1:4" ht="15" thickBot="1">
      <c r="A300" s="25" t="s">
        <v>11</v>
      </c>
      <c r="B300" s="12" t="s">
        <v>23</v>
      </c>
      <c r="C300" s="50" t="str">
        <f>IF(Table22[[#This Row],[Region]]= " ",$F$1,Table22[[#This Row],[Category]])</f>
        <v>Clothing</v>
      </c>
      <c r="D300" s="50" t="str">
        <f>IF(Table22[[#This Row],[Region]]=" ",$F$1,Table22[[#This Row],[Region]])</f>
        <v>East</v>
      </c>
    </row>
    <row r="301" spans="1:4" ht="15" thickBot="1">
      <c r="A301" s="24" t="s">
        <v>22</v>
      </c>
      <c r="B301" s="21" t="s">
        <v>13</v>
      </c>
      <c r="C301" s="49" t="str">
        <f>IF(Table22[[#This Row],[Region]]= " ",$F$1,Table22[[#This Row],[Category]])</f>
        <v>Beverages</v>
      </c>
      <c r="D301" s="49" t="str">
        <f>IF(Table22[[#This Row],[Region]]=" ",$F$1,Table22[[#This Row],[Region]])</f>
        <v>North</v>
      </c>
    </row>
    <row r="302" spans="1:4" ht="15" thickBot="1">
      <c r="A302" s="25" t="s">
        <v>17</v>
      </c>
      <c r="B302" s="12" t="s">
        <v>19</v>
      </c>
      <c r="C302" s="50" t="str">
        <f>IF(Table22[[#This Row],[Region]]= " ",$F$1,Table22[[#This Row],[Category]])</f>
        <v>Food</v>
      </c>
      <c r="D302" s="50" t="str">
        <f>IF(Table22[[#This Row],[Region]]=" ",$F$1,Table22[[#This Row],[Region]])</f>
        <v>West</v>
      </c>
    </row>
    <row r="303" spans="1:4" ht="15" thickBot="1">
      <c r="A303" s="24" t="s">
        <v>22</v>
      </c>
      <c r="B303" s="21" t="s">
        <v>13</v>
      </c>
      <c r="C303" s="49" t="str">
        <f>IF(Table22[[#This Row],[Region]]= " ",$F$1,Table22[[#This Row],[Category]])</f>
        <v>Beverages</v>
      </c>
      <c r="D303" s="49" t="str">
        <f>IF(Table22[[#This Row],[Region]]=" ",$F$1,Table22[[#This Row],[Region]])</f>
        <v>North</v>
      </c>
    </row>
    <row r="304" spans="1:4" ht="15" thickBot="1">
      <c r="A304" s="25" t="s">
        <v>22</v>
      </c>
      <c r="B304" s="12" t="s">
        <v>27</v>
      </c>
      <c r="C304" s="50" t="str">
        <f>IF(Table22[[#This Row],[Region]]= " ",$F$1,Table22[[#This Row],[Category]])</f>
        <v>Furniture</v>
      </c>
      <c r="D304" s="50" t="str">
        <f>IF(Table22[[#This Row],[Region]]=" ",$F$1,Table22[[#This Row],[Region]])</f>
        <v>North</v>
      </c>
    </row>
    <row r="305" spans="1:4" ht="15" thickBot="1">
      <c r="A305" s="24" t="s">
        <v>11</v>
      </c>
      <c r="B305" s="21" t="s">
        <v>19</v>
      </c>
      <c r="C305" s="49" t="str">
        <f>IF(Table22[[#This Row],[Region]]= " ",$F$1,Table22[[#This Row],[Category]])</f>
        <v>Food</v>
      </c>
      <c r="D305" s="49" t="str">
        <f>IF(Table22[[#This Row],[Region]]=" ",$F$1,Table22[[#This Row],[Region]])</f>
        <v>East</v>
      </c>
    </row>
    <row r="306" spans="1:4" ht="15" thickBot="1">
      <c r="A306" s="25" t="s">
        <v>48</v>
      </c>
      <c r="B306" s="12" t="s">
        <v>23</v>
      </c>
      <c r="C306" s="50" t="str">
        <f>IF(Table22[[#This Row],[Region]]= " ",$F$1,Table22[[#This Row],[Category]])</f>
        <v>Clothing</v>
      </c>
      <c r="D306" s="50" t="str">
        <f>IF(Table22[[#This Row],[Region]]=" ",$F$1,Table22[[#This Row],[Region]])</f>
        <v>South</v>
      </c>
    </row>
    <row r="307" spans="1:4" ht="15" thickBot="1">
      <c r="A307" s="24" t="s">
        <v>48</v>
      </c>
      <c r="B307" s="21" t="s">
        <v>19</v>
      </c>
      <c r="C307" s="49" t="str">
        <f>IF(Table22[[#This Row],[Region]]= " ",$F$1,Table22[[#This Row],[Category]])</f>
        <v>Food</v>
      </c>
      <c r="D307" s="49" t="str">
        <f>IF(Table22[[#This Row],[Region]]=" ",$F$1,Table22[[#This Row],[Region]])</f>
        <v>South</v>
      </c>
    </row>
    <row r="308" spans="1:4" ht="15" thickBot="1">
      <c r="A308" s="25" t="s">
        <v>22</v>
      </c>
      <c r="B308" s="12"/>
      <c r="C308" s="50">
        <f>IF(Table22[[#This Row],[Region]]= " ",$F$1,Table22[[#This Row],[Category]])</f>
        <v>0</v>
      </c>
      <c r="D308" s="50" t="str">
        <f>IF(Table22[[#This Row],[Region]]=" ",$F$1,Table22[[#This Row],[Region]])</f>
        <v>North</v>
      </c>
    </row>
    <row r="309" spans="1:4" ht="15" thickBot="1">
      <c r="A309" s="24" t="s">
        <v>17</v>
      </c>
      <c r="B309" s="21"/>
      <c r="C309" s="49">
        <f>IF(Table22[[#This Row],[Region]]= " ",$F$1,Table22[[#This Row],[Category]])</f>
        <v>0</v>
      </c>
      <c r="D309" s="49" t="str">
        <f>IF(Table22[[#This Row],[Region]]=" ",$F$1,Table22[[#This Row],[Region]])</f>
        <v>West</v>
      </c>
    </row>
    <row r="310" spans="1:4" ht="15" thickBot="1">
      <c r="A310" s="25" t="s">
        <v>48</v>
      </c>
      <c r="B310" s="12"/>
      <c r="C310" s="50">
        <f>IF(Table22[[#This Row],[Region]]= " ",$F$1,Table22[[#This Row],[Category]])</f>
        <v>0</v>
      </c>
      <c r="D310" s="50" t="str">
        <f>IF(Table22[[#This Row],[Region]]=" ",$F$1,Table22[[#This Row],[Region]])</f>
        <v>South</v>
      </c>
    </row>
    <row r="311" spans="1:4" ht="15" thickBot="1">
      <c r="A311" s="24" t="s">
        <v>17</v>
      </c>
      <c r="B311" s="21" t="s">
        <v>19</v>
      </c>
      <c r="C311" s="49" t="str">
        <f>IF(Table22[[#This Row],[Region]]= " ",$F$1,Table22[[#This Row],[Category]])</f>
        <v>Food</v>
      </c>
      <c r="D311" s="49" t="str">
        <f>IF(Table22[[#This Row],[Region]]=" ",$F$1,Table22[[#This Row],[Region]])</f>
        <v>West</v>
      </c>
    </row>
    <row r="312" spans="1:4" ht="15" thickBot="1">
      <c r="A312" s="25" t="s">
        <v>48</v>
      </c>
      <c r="B312" s="12" t="s">
        <v>42</v>
      </c>
      <c r="C312" s="50" t="str">
        <f>IF(Table22[[#This Row],[Region]]= " ",$F$1,Table22[[#This Row],[Category]])</f>
        <v>Electronics</v>
      </c>
      <c r="D312" s="50" t="str">
        <f>IF(Table22[[#This Row],[Region]]=" ",$F$1,Table22[[#This Row],[Region]])</f>
        <v>South</v>
      </c>
    </row>
    <row r="313" spans="1:4" ht="15" thickBot="1">
      <c r="A313" s="24" t="s">
        <v>17</v>
      </c>
      <c r="B313" s="21" t="s">
        <v>27</v>
      </c>
      <c r="C313" s="49" t="str">
        <f>IF(Table22[[#This Row],[Region]]= " ",$F$1,Table22[[#This Row],[Category]])</f>
        <v>Furniture</v>
      </c>
      <c r="D313" s="49" t="str">
        <f>IF(Table22[[#This Row],[Region]]=" ",$F$1,Table22[[#This Row],[Region]])</f>
        <v>West</v>
      </c>
    </row>
    <row r="314" spans="1:4" ht="15" thickBot="1">
      <c r="A314" s="25" t="s">
        <v>11</v>
      </c>
      <c r="B314" s="12" t="s">
        <v>13</v>
      </c>
      <c r="C314" s="50" t="str">
        <f>IF(Table22[[#This Row],[Region]]= " ",$F$1,Table22[[#This Row],[Category]])</f>
        <v>Beverages</v>
      </c>
      <c r="D314" s="50" t="str">
        <f>IF(Table22[[#This Row],[Region]]=" ",$F$1,Table22[[#This Row],[Region]])</f>
        <v>East</v>
      </c>
    </row>
    <row r="315" spans="1:4" ht="15" thickBot="1">
      <c r="A315" s="24" t="s">
        <v>17</v>
      </c>
      <c r="B315" s="21" t="s">
        <v>23</v>
      </c>
      <c r="C315" s="49" t="str">
        <f>IF(Table22[[#This Row],[Region]]= " ",$F$1,Table22[[#This Row],[Category]])</f>
        <v>Clothing</v>
      </c>
      <c r="D315" s="49" t="str">
        <f>IF(Table22[[#This Row],[Region]]=" ",$F$1,Table22[[#This Row],[Region]])</f>
        <v>West</v>
      </c>
    </row>
    <row r="316" spans="1:4" ht="15" thickBot="1">
      <c r="A316" s="25" t="s">
        <v>11</v>
      </c>
      <c r="B316" s="12" t="s">
        <v>19</v>
      </c>
      <c r="C316" s="50" t="str">
        <f>IF(Table22[[#This Row],[Region]]= " ",$F$1,Table22[[#This Row],[Category]])</f>
        <v>Food</v>
      </c>
      <c r="D316" s="50" t="str">
        <f>IF(Table22[[#This Row],[Region]]=" ",$F$1,Table22[[#This Row],[Region]])</f>
        <v>East</v>
      </c>
    </row>
    <row r="317" spans="1:4" ht="15" thickBot="1">
      <c r="A317" s="24" t="s">
        <v>11</v>
      </c>
      <c r="B317" s="21" t="s">
        <v>13</v>
      </c>
      <c r="C317" s="49" t="str">
        <f>IF(Table22[[#This Row],[Region]]= " ",$F$1,Table22[[#This Row],[Category]])</f>
        <v>Beverages</v>
      </c>
      <c r="D317" s="49" t="str">
        <f>IF(Table22[[#This Row],[Region]]=" ",$F$1,Table22[[#This Row],[Region]])</f>
        <v>East</v>
      </c>
    </row>
    <row r="318" spans="1:4" ht="15" thickBot="1">
      <c r="A318" s="25" t="s">
        <v>17</v>
      </c>
      <c r="B318" s="12" t="s">
        <v>23</v>
      </c>
      <c r="C318" s="50" t="str">
        <f>IF(Table22[[#This Row],[Region]]= " ",$F$1,Table22[[#This Row],[Category]])</f>
        <v>Clothing</v>
      </c>
      <c r="D318" s="50" t="str">
        <f>IF(Table22[[#This Row],[Region]]=" ",$F$1,Table22[[#This Row],[Region]])</f>
        <v>West</v>
      </c>
    </row>
    <row r="319" spans="1:4" ht="15" thickBot="1">
      <c r="A319" s="24" t="s">
        <v>11</v>
      </c>
      <c r="B319" s="21" t="s">
        <v>23</v>
      </c>
      <c r="C319" s="49" t="str">
        <f>IF(Table22[[#This Row],[Region]]= " ",$F$1,Table22[[#This Row],[Category]])</f>
        <v>Clothing</v>
      </c>
      <c r="D319" s="49" t="str">
        <f>IF(Table22[[#This Row],[Region]]=" ",$F$1,Table22[[#This Row],[Region]])</f>
        <v>East</v>
      </c>
    </row>
    <row r="320" spans="1:4" ht="15" thickBot="1">
      <c r="A320" s="25" t="s">
        <v>22</v>
      </c>
      <c r="B320" s="12" t="s">
        <v>42</v>
      </c>
      <c r="C320" s="50" t="str">
        <f>IF(Table22[[#This Row],[Region]]= " ",$F$1,Table22[[#This Row],[Category]])</f>
        <v>Electronics</v>
      </c>
      <c r="D320" s="50" t="str">
        <f>IF(Table22[[#This Row],[Region]]=" ",$F$1,Table22[[#This Row],[Region]])</f>
        <v>North</v>
      </c>
    </row>
    <row r="321" spans="1:4" ht="15" thickBot="1">
      <c r="A321" s="24" t="s">
        <v>11</v>
      </c>
      <c r="B321" s="21" t="s">
        <v>27</v>
      </c>
      <c r="C321" s="49" t="str">
        <f>IF(Table22[[#This Row],[Region]]= " ",$F$1,Table22[[#This Row],[Category]])</f>
        <v>Furniture</v>
      </c>
      <c r="D321" s="49" t="str">
        <f>IF(Table22[[#This Row],[Region]]=" ",$F$1,Table22[[#This Row],[Region]])</f>
        <v>East</v>
      </c>
    </row>
    <row r="322" spans="1:4" ht="15" thickBot="1">
      <c r="A322" s="25" t="s">
        <v>48</v>
      </c>
      <c r="B322" s="12" t="s">
        <v>27</v>
      </c>
      <c r="C322" s="50" t="str">
        <f>IF(Table22[[#This Row],[Region]]= " ",$F$1,Table22[[#This Row],[Category]])</f>
        <v>Furniture</v>
      </c>
      <c r="D322" s="50" t="str">
        <f>IF(Table22[[#This Row],[Region]]=" ",$F$1,Table22[[#This Row],[Region]])</f>
        <v>South</v>
      </c>
    </row>
    <row r="323" spans="1:4" ht="15" thickBot="1">
      <c r="A323" s="24" t="s">
        <v>17</v>
      </c>
      <c r="B323" s="21" t="s">
        <v>13</v>
      </c>
      <c r="C323" s="49" t="str">
        <f>IF(Table22[[#This Row],[Region]]= " ",$F$1,Table22[[#This Row],[Category]])</f>
        <v>Beverages</v>
      </c>
      <c r="D323" s="49" t="str">
        <f>IF(Table22[[#This Row],[Region]]=" ",$F$1,Table22[[#This Row],[Region]])</f>
        <v>West</v>
      </c>
    </row>
    <row r="324" spans="1:4" ht="15" thickBot="1">
      <c r="A324" s="25" t="s">
        <v>22</v>
      </c>
      <c r="B324" s="12" t="s">
        <v>27</v>
      </c>
      <c r="C324" s="50" t="str">
        <f>IF(Table22[[#This Row],[Region]]= " ",$F$1,Table22[[#This Row],[Category]])</f>
        <v>Furniture</v>
      </c>
      <c r="D324" s="50" t="str">
        <f>IF(Table22[[#This Row],[Region]]=" ",$F$1,Table22[[#This Row],[Region]])</f>
        <v>North</v>
      </c>
    </row>
    <row r="325" spans="1:4" ht="15" thickBot="1">
      <c r="A325" s="24" t="s">
        <v>17</v>
      </c>
      <c r="B325" s="21" t="s">
        <v>19</v>
      </c>
      <c r="C325" s="49" t="str">
        <f>IF(Table22[[#This Row],[Region]]= " ",$F$1,Table22[[#This Row],[Category]])</f>
        <v>Food</v>
      </c>
      <c r="D325" s="49" t="str">
        <f>IF(Table22[[#This Row],[Region]]=" ",$F$1,Table22[[#This Row],[Region]])</f>
        <v>West</v>
      </c>
    </row>
    <row r="326" spans="1:4" ht="15" thickBot="1">
      <c r="A326" s="25" t="s">
        <v>48</v>
      </c>
      <c r="B326" s="12"/>
      <c r="C326" s="50">
        <f>IF(Table22[[#This Row],[Region]]= " ",$F$1,Table22[[#This Row],[Category]])</f>
        <v>0</v>
      </c>
      <c r="D326" s="50" t="str">
        <f>IF(Table22[[#This Row],[Region]]=" ",$F$1,Table22[[#This Row],[Region]])</f>
        <v>South</v>
      </c>
    </row>
    <row r="327" spans="1:4" ht="15" thickBot="1">
      <c r="A327" s="24" t="s">
        <v>48</v>
      </c>
      <c r="B327" s="21" t="s">
        <v>13</v>
      </c>
      <c r="C327" s="49" t="str">
        <f>IF(Table22[[#This Row],[Region]]= " ",$F$1,Table22[[#This Row],[Category]])</f>
        <v>Beverages</v>
      </c>
      <c r="D327" s="49" t="str">
        <f>IF(Table22[[#This Row],[Region]]=" ",$F$1,Table22[[#This Row],[Region]])</f>
        <v>South</v>
      </c>
    </row>
    <row r="328" spans="1:4" ht="15" thickBot="1">
      <c r="A328" s="25" t="s">
        <v>48</v>
      </c>
      <c r="B328" s="12" t="s">
        <v>27</v>
      </c>
      <c r="C328" s="50" t="str">
        <f>IF(Table22[[#This Row],[Region]]= " ",$F$1,Table22[[#This Row],[Category]])</f>
        <v>Furniture</v>
      </c>
      <c r="D328" s="50" t="str">
        <f>IF(Table22[[#This Row],[Region]]=" ",$F$1,Table22[[#This Row],[Region]])</f>
        <v>South</v>
      </c>
    </row>
    <row r="329" spans="1:4" ht="15" thickBot="1">
      <c r="A329" s="24" t="s">
        <v>11</v>
      </c>
      <c r="B329" s="21" t="s">
        <v>19</v>
      </c>
      <c r="C329" s="49" t="str">
        <f>IF(Table22[[#This Row],[Region]]= " ",$F$1,Table22[[#This Row],[Category]])</f>
        <v>Food</v>
      </c>
      <c r="D329" s="49" t="str">
        <f>IF(Table22[[#This Row],[Region]]=" ",$F$1,Table22[[#This Row],[Region]])</f>
        <v>East</v>
      </c>
    </row>
    <row r="330" spans="1:4" ht="15" thickBot="1">
      <c r="A330" s="25" t="s">
        <v>11</v>
      </c>
      <c r="B330" s="12" t="s">
        <v>42</v>
      </c>
      <c r="C330" s="50" t="str">
        <f>IF(Table22[[#This Row],[Region]]= " ",$F$1,Table22[[#This Row],[Category]])</f>
        <v>Electronics</v>
      </c>
      <c r="D330" s="50" t="str">
        <f>IF(Table22[[#This Row],[Region]]=" ",$F$1,Table22[[#This Row],[Region]])</f>
        <v>East</v>
      </c>
    </row>
    <row r="331" spans="1:4" ht="15" thickBot="1">
      <c r="A331" s="24" t="s">
        <v>17</v>
      </c>
      <c r="B331" s="21" t="s">
        <v>13</v>
      </c>
      <c r="C331" s="49" t="str">
        <f>IF(Table22[[#This Row],[Region]]= " ",$F$1,Table22[[#This Row],[Category]])</f>
        <v>Beverages</v>
      </c>
      <c r="D331" s="49" t="str">
        <f>IF(Table22[[#This Row],[Region]]=" ",$F$1,Table22[[#This Row],[Region]])</f>
        <v>West</v>
      </c>
    </row>
    <row r="332" spans="1:4" ht="15" thickBot="1">
      <c r="A332" s="25" t="s">
        <v>17</v>
      </c>
      <c r="B332" s="12" t="s">
        <v>42</v>
      </c>
      <c r="C332" s="50" t="str">
        <f>IF(Table22[[#This Row],[Region]]= " ",$F$1,Table22[[#This Row],[Category]])</f>
        <v>Electronics</v>
      </c>
      <c r="D332" s="50" t="str">
        <f>IF(Table22[[#This Row],[Region]]=" ",$F$1,Table22[[#This Row],[Region]])</f>
        <v>West</v>
      </c>
    </row>
    <row r="333" spans="1:4" ht="15" thickBot="1">
      <c r="A333" s="24" t="s">
        <v>22</v>
      </c>
      <c r="B333" s="21" t="s">
        <v>42</v>
      </c>
      <c r="C333" s="49" t="str">
        <f>IF(Table22[[#This Row],[Region]]= " ",$F$1,Table22[[#This Row],[Category]])</f>
        <v>Electronics</v>
      </c>
      <c r="D333" s="49" t="str">
        <f>IF(Table22[[#This Row],[Region]]=" ",$F$1,Table22[[#This Row],[Region]])</f>
        <v>North</v>
      </c>
    </row>
    <row r="334" spans="1:4" ht="15" thickBot="1">
      <c r="A334" s="25"/>
      <c r="B334" s="12" t="s">
        <v>42</v>
      </c>
      <c r="C334" s="50" t="str">
        <f>IF(Table22[[#This Row],[Region]]= " ",$F$1,Table22[[#This Row],[Category]])</f>
        <v>Electronics</v>
      </c>
      <c r="D334" s="50">
        <f>IF(Table22[[#This Row],[Region]]=" ",$F$1,Table22[[#This Row],[Region]])</f>
        <v>0</v>
      </c>
    </row>
    <row r="335" spans="1:4" ht="15" thickBot="1">
      <c r="A335" s="24" t="s">
        <v>17</v>
      </c>
      <c r="B335" s="21" t="s">
        <v>23</v>
      </c>
      <c r="C335" s="49" t="str">
        <f>IF(Table22[[#This Row],[Region]]= " ",$F$1,Table22[[#This Row],[Category]])</f>
        <v>Clothing</v>
      </c>
      <c r="D335" s="49" t="str">
        <f>IF(Table22[[#This Row],[Region]]=" ",$F$1,Table22[[#This Row],[Region]])</f>
        <v>West</v>
      </c>
    </row>
    <row r="336" spans="1:4" ht="15" thickBot="1">
      <c r="A336" s="25" t="s">
        <v>11</v>
      </c>
      <c r="B336" s="12" t="s">
        <v>23</v>
      </c>
      <c r="C336" s="50" t="str">
        <f>IF(Table22[[#This Row],[Region]]= " ",$F$1,Table22[[#This Row],[Category]])</f>
        <v>Clothing</v>
      </c>
      <c r="D336" s="50" t="str">
        <f>IF(Table22[[#This Row],[Region]]=" ",$F$1,Table22[[#This Row],[Region]])</f>
        <v>East</v>
      </c>
    </row>
    <row r="337" spans="1:4" ht="15" thickBot="1">
      <c r="A337" s="24" t="s">
        <v>48</v>
      </c>
      <c r="B337" s="21" t="s">
        <v>42</v>
      </c>
      <c r="C337" s="49" t="str">
        <f>IF(Table22[[#This Row],[Region]]= " ",$F$1,Table22[[#This Row],[Category]])</f>
        <v>Electronics</v>
      </c>
      <c r="D337" s="49" t="str">
        <f>IF(Table22[[#This Row],[Region]]=" ",$F$1,Table22[[#This Row],[Region]])</f>
        <v>South</v>
      </c>
    </row>
    <row r="338" spans="1:4" ht="15" thickBot="1">
      <c r="A338" s="25" t="s">
        <v>17</v>
      </c>
      <c r="B338" s="12" t="s">
        <v>13</v>
      </c>
      <c r="C338" s="50" t="str">
        <f>IF(Table22[[#This Row],[Region]]= " ",$F$1,Table22[[#This Row],[Category]])</f>
        <v>Beverages</v>
      </c>
      <c r="D338" s="50" t="str">
        <f>IF(Table22[[#This Row],[Region]]=" ",$F$1,Table22[[#This Row],[Region]])</f>
        <v>West</v>
      </c>
    </row>
    <row r="339" spans="1:4" ht="15" thickBot="1">
      <c r="A339" s="24" t="s">
        <v>22</v>
      </c>
      <c r="B339" s="21" t="s">
        <v>19</v>
      </c>
      <c r="C339" s="49" t="str">
        <f>IF(Table22[[#This Row],[Region]]= " ",$F$1,Table22[[#This Row],[Category]])</f>
        <v>Food</v>
      </c>
      <c r="D339" s="49" t="str">
        <f>IF(Table22[[#This Row],[Region]]=" ",$F$1,Table22[[#This Row],[Region]])</f>
        <v>North</v>
      </c>
    </row>
    <row r="340" spans="1:4" ht="15" thickBot="1">
      <c r="A340" s="25" t="s">
        <v>11</v>
      </c>
      <c r="B340" s="12" t="s">
        <v>19</v>
      </c>
      <c r="C340" s="50" t="str">
        <f>IF(Table22[[#This Row],[Region]]= " ",$F$1,Table22[[#This Row],[Category]])</f>
        <v>Food</v>
      </c>
      <c r="D340" s="50" t="str">
        <f>IF(Table22[[#This Row],[Region]]=" ",$F$1,Table22[[#This Row],[Region]])</f>
        <v>East</v>
      </c>
    </row>
    <row r="341" spans="1:4" ht="15" thickBot="1">
      <c r="A341" s="24" t="s">
        <v>17</v>
      </c>
      <c r="B341" s="21" t="s">
        <v>27</v>
      </c>
      <c r="C341" s="49" t="str">
        <f>IF(Table22[[#This Row],[Region]]= " ",$F$1,Table22[[#This Row],[Category]])</f>
        <v>Furniture</v>
      </c>
      <c r="D341" s="49" t="str">
        <f>IF(Table22[[#This Row],[Region]]=" ",$F$1,Table22[[#This Row],[Region]])</f>
        <v>West</v>
      </c>
    </row>
    <row r="342" spans="1:4" ht="15" thickBot="1">
      <c r="A342" s="25" t="s">
        <v>17</v>
      </c>
      <c r="B342" s="12" t="s">
        <v>13</v>
      </c>
      <c r="C342" s="50" t="str">
        <f>IF(Table22[[#This Row],[Region]]= " ",$F$1,Table22[[#This Row],[Category]])</f>
        <v>Beverages</v>
      </c>
      <c r="D342" s="50" t="str">
        <f>IF(Table22[[#This Row],[Region]]=" ",$F$1,Table22[[#This Row],[Region]])</f>
        <v>West</v>
      </c>
    </row>
    <row r="343" spans="1:4" ht="15" thickBot="1">
      <c r="A343" s="24" t="s">
        <v>11</v>
      </c>
      <c r="B343" s="21" t="s">
        <v>23</v>
      </c>
      <c r="C343" s="49" t="str">
        <f>IF(Table22[[#This Row],[Region]]= " ",$F$1,Table22[[#This Row],[Category]])</f>
        <v>Clothing</v>
      </c>
      <c r="D343" s="49" t="str">
        <f>IF(Table22[[#This Row],[Region]]=" ",$F$1,Table22[[#This Row],[Region]])</f>
        <v>East</v>
      </c>
    </row>
    <row r="344" spans="1:4" ht="15" thickBot="1">
      <c r="A344" s="25" t="s">
        <v>17</v>
      </c>
      <c r="B344" s="12" t="s">
        <v>42</v>
      </c>
      <c r="C344" s="50" t="str">
        <f>IF(Table22[[#This Row],[Region]]= " ",$F$1,Table22[[#This Row],[Category]])</f>
        <v>Electronics</v>
      </c>
      <c r="D344" s="50" t="str">
        <f>IF(Table22[[#This Row],[Region]]=" ",$F$1,Table22[[#This Row],[Region]])</f>
        <v>West</v>
      </c>
    </row>
    <row r="345" spans="1:4" ht="15" thickBot="1">
      <c r="A345" s="24" t="s">
        <v>11</v>
      </c>
      <c r="B345" s="21" t="s">
        <v>27</v>
      </c>
      <c r="C345" s="49" t="str">
        <f>IF(Table22[[#This Row],[Region]]= " ",$F$1,Table22[[#This Row],[Category]])</f>
        <v>Furniture</v>
      </c>
      <c r="D345" s="49" t="str">
        <f>IF(Table22[[#This Row],[Region]]=" ",$F$1,Table22[[#This Row],[Region]])</f>
        <v>East</v>
      </c>
    </row>
    <row r="346" spans="1:4" ht="15" thickBot="1">
      <c r="A346" s="25" t="s">
        <v>48</v>
      </c>
      <c r="B346" s="12" t="s">
        <v>19</v>
      </c>
      <c r="C346" s="50" t="str">
        <f>IF(Table22[[#This Row],[Region]]= " ",$F$1,Table22[[#This Row],[Category]])</f>
        <v>Food</v>
      </c>
      <c r="D346" s="50" t="str">
        <f>IF(Table22[[#This Row],[Region]]=" ",$F$1,Table22[[#This Row],[Region]])</f>
        <v>South</v>
      </c>
    </row>
    <row r="347" spans="1:4" ht="15" thickBot="1">
      <c r="A347" s="24" t="s">
        <v>11</v>
      </c>
      <c r="B347" s="21" t="s">
        <v>23</v>
      </c>
      <c r="C347" s="49" t="str">
        <f>IF(Table22[[#This Row],[Region]]= " ",$F$1,Table22[[#This Row],[Category]])</f>
        <v>Clothing</v>
      </c>
      <c r="D347" s="49" t="str">
        <f>IF(Table22[[#This Row],[Region]]=" ",$F$1,Table22[[#This Row],[Region]])</f>
        <v>East</v>
      </c>
    </row>
    <row r="348" spans="1:4" ht="15" thickBot="1">
      <c r="A348" s="25" t="s">
        <v>11</v>
      </c>
      <c r="B348" s="12" t="s">
        <v>23</v>
      </c>
      <c r="C348" s="50" t="str">
        <f>IF(Table22[[#This Row],[Region]]= " ",$F$1,Table22[[#This Row],[Category]])</f>
        <v>Clothing</v>
      </c>
      <c r="D348" s="50" t="str">
        <f>IF(Table22[[#This Row],[Region]]=" ",$F$1,Table22[[#This Row],[Region]])</f>
        <v>East</v>
      </c>
    </row>
    <row r="349" spans="1:4" ht="15" thickBot="1">
      <c r="A349" s="24"/>
      <c r="B349" s="21" t="s">
        <v>42</v>
      </c>
      <c r="C349" s="49" t="str">
        <f>IF(Table22[[#This Row],[Region]]= " ",$F$1,Table22[[#This Row],[Category]])</f>
        <v>Electronics</v>
      </c>
      <c r="D349" s="49">
        <f>IF(Table22[[#This Row],[Region]]=" ",$F$1,Table22[[#This Row],[Region]])</f>
        <v>0</v>
      </c>
    </row>
    <row r="350" spans="1:4" ht="15" thickBot="1">
      <c r="A350" s="25" t="s">
        <v>17</v>
      </c>
      <c r="B350" s="12" t="s">
        <v>19</v>
      </c>
      <c r="C350" s="50" t="str">
        <f>IF(Table22[[#This Row],[Region]]= " ",$F$1,Table22[[#This Row],[Category]])</f>
        <v>Food</v>
      </c>
      <c r="D350" s="50" t="str">
        <f>IF(Table22[[#This Row],[Region]]=" ",$F$1,Table22[[#This Row],[Region]])</f>
        <v>West</v>
      </c>
    </row>
    <row r="351" spans="1:4" ht="15" thickBot="1">
      <c r="A351" s="24" t="s">
        <v>17</v>
      </c>
      <c r="B351" s="21" t="s">
        <v>13</v>
      </c>
      <c r="C351" s="49" t="str">
        <f>IF(Table22[[#This Row],[Region]]= " ",$F$1,Table22[[#This Row],[Category]])</f>
        <v>Beverages</v>
      </c>
      <c r="D351" s="49" t="str">
        <f>IF(Table22[[#This Row],[Region]]=" ",$F$1,Table22[[#This Row],[Region]])</f>
        <v>West</v>
      </c>
    </row>
    <row r="352" spans="1:4">
      <c r="A352" s="30" t="s">
        <v>11</v>
      </c>
      <c r="B352" s="14" t="s">
        <v>23</v>
      </c>
      <c r="C352" s="50" t="str">
        <f>IF(Table22[[#This Row],[Region]]= " ",$F$1,Table22[[#This Row],[Category]])</f>
        <v>Clothing</v>
      </c>
      <c r="D352" s="50" t="str">
        <f>IF(Table22[[#This Row],[Region]]=" ",$F$1,Table22[[#This Row],[Region]])</f>
        <v>East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E9C1-0F69-49C7-BDEC-1ACFCC625384}">
  <dimension ref="A1:J357"/>
  <sheetViews>
    <sheetView workbookViewId="0">
      <selection activeCell="I1" sqref="I1"/>
    </sheetView>
  </sheetViews>
  <sheetFormatPr defaultRowHeight="14.4"/>
  <cols>
    <col min="1" max="1" width="12.44140625" bestFit="1" customWidth="1"/>
    <col min="2" max="2" width="11.21875" bestFit="1" customWidth="1"/>
    <col min="3" max="3" width="18.33203125" bestFit="1" customWidth="1"/>
    <col min="4" max="4" width="13" bestFit="1" customWidth="1"/>
    <col min="5" max="5" width="12.33203125" bestFit="1" customWidth="1"/>
    <col min="6" max="6" width="11.5546875" bestFit="1" customWidth="1"/>
    <col min="7" max="7" width="15.44140625" bestFit="1" customWidth="1"/>
    <col min="8" max="8" width="9.77734375" bestFit="1" customWidth="1"/>
    <col min="9" max="9" width="9.5546875" bestFit="1" customWidth="1"/>
    <col min="10" max="10" width="13.109375" bestFit="1" customWidth="1"/>
  </cols>
  <sheetData>
    <row r="1" spans="1:10">
      <c r="A1" s="7" t="s">
        <v>393</v>
      </c>
    </row>
    <row r="2" spans="1:10">
      <c r="A2" s="7" t="s">
        <v>394</v>
      </c>
    </row>
    <row r="4" spans="1:10" ht="29.4" thickBo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15" thickBo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</row>
    <row r="6" spans="1:10" ht="15" thickBot="1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</row>
    <row r="7" spans="1:10" ht="15" thickBot="1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</row>
    <row r="8" spans="1:10" ht="15" thickBot="1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</row>
    <row r="9" spans="1:10" ht="15" thickBot="1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</row>
    <row r="10" spans="1:10" ht="15" thickBot="1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</row>
    <row r="11" spans="1:10" ht="15" thickBot="1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</row>
    <row r="12" spans="1:10" ht="15" thickBot="1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</row>
    <row r="13" spans="1:10" ht="15" thickBot="1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</row>
    <row r="14" spans="1:10" ht="15" thickBot="1">
      <c r="A14" s="3" t="s">
        <v>35</v>
      </c>
      <c r="B14" s="3"/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</row>
    <row r="15" spans="1:10" ht="15" thickBot="1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</row>
    <row r="16" spans="1:10" ht="15" thickBot="1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</row>
    <row r="17" spans="1:10" ht="15" thickBot="1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</row>
    <row r="18" spans="1:10" ht="15" thickBot="1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</row>
    <row r="19" spans="1:10" ht="15" thickBot="1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</row>
    <row r="20" spans="1:10" ht="15" thickBot="1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</row>
    <row r="21" spans="1:10" ht="15" thickBot="1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</row>
    <row r="22" spans="1:10" ht="15" thickBot="1">
      <c r="A22" s="3" t="s">
        <v>44</v>
      </c>
      <c r="B22" s="3"/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</row>
    <row r="23" spans="1:10" ht="15" thickBot="1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</row>
    <row r="24" spans="1:10" ht="15" thickBot="1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</row>
    <row r="25" spans="1:10" ht="15" thickBot="1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</row>
    <row r="26" spans="1:10" ht="15" thickBot="1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</row>
    <row r="27" spans="1:10" ht="15" thickBot="1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</row>
    <row r="28" spans="1:10" ht="15" thickBot="1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</row>
    <row r="29" spans="1:10" ht="15" thickBot="1">
      <c r="A29" s="3" t="s">
        <v>53</v>
      </c>
      <c r="B29" s="3" t="s">
        <v>17</v>
      </c>
      <c r="C29" s="3" t="s">
        <v>18</v>
      </c>
      <c r="D29" s="3"/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</row>
    <row r="30" spans="1:10" ht="15" thickBot="1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</row>
    <row r="31" spans="1:10" ht="15" thickBot="1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</row>
    <row r="32" spans="1:10" ht="15" thickBot="1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3"/>
      <c r="J32" s="3">
        <v>383.01</v>
      </c>
    </row>
    <row r="33" spans="1:10" ht="15" thickBot="1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</row>
    <row r="34" spans="1:10" ht="15" thickBot="1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</row>
    <row r="35" spans="1:10" ht="15" thickBot="1">
      <c r="A35" s="3" t="s">
        <v>59</v>
      </c>
      <c r="B35" s="3"/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</row>
    <row r="36" spans="1:10" ht="15" thickBot="1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</row>
    <row r="37" spans="1:10" ht="15" thickBot="1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</row>
    <row r="38" spans="1:10" ht="15" thickBot="1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</row>
    <row r="39" spans="1:10" ht="15" thickBot="1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</row>
    <row r="40" spans="1:10" ht="15" thickBot="1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</row>
    <row r="41" spans="1:10" ht="15" thickBot="1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3"/>
      <c r="J41" s="3">
        <v>332.07</v>
      </c>
    </row>
    <row r="42" spans="1:10" ht="15" thickBot="1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</row>
    <row r="43" spans="1:10" ht="15" thickBot="1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3"/>
      <c r="I43" s="3">
        <v>91.23</v>
      </c>
      <c r="J43" s="3">
        <v>381.21</v>
      </c>
    </row>
    <row r="44" spans="1:10" ht="15" thickBot="1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</row>
    <row r="45" spans="1:10" ht="15" thickBot="1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</row>
    <row r="46" spans="1:10" ht="15" thickBot="1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</row>
    <row r="47" spans="1:10" ht="15" thickBot="1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</row>
    <row r="48" spans="1:10" ht="15" thickBot="1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</row>
    <row r="49" spans="1:10" ht="15" thickBot="1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3"/>
      <c r="J49" s="3">
        <v>94.56</v>
      </c>
    </row>
    <row r="50" spans="1:10" ht="15" thickBot="1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</row>
    <row r="51" spans="1:10" ht="15" thickBot="1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</row>
    <row r="52" spans="1:10" ht="15" thickBot="1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</row>
    <row r="53" spans="1:10" ht="15" thickBot="1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</row>
    <row r="54" spans="1:10" ht="15" thickBot="1">
      <c r="A54" s="3" t="s">
        <v>78</v>
      </c>
      <c r="B54" s="3"/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</row>
    <row r="55" spans="1:10" ht="15" thickBot="1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</row>
    <row r="56" spans="1:10" ht="15" thickBot="1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</row>
    <row r="57" spans="1:10" ht="15" thickBot="1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</row>
    <row r="58" spans="1:10" ht="15" thickBot="1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</row>
    <row r="59" spans="1:10" ht="15" thickBot="1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</row>
    <row r="60" spans="1:10" ht="15" thickBot="1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</row>
    <row r="61" spans="1:10" ht="15" thickBot="1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</row>
    <row r="62" spans="1:10" ht="15" thickBot="1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</row>
    <row r="63" spans="1:10" ht="15" thickBot="1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</row>
    <row r="64" spans="1:10" ht="15" thickBot="1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</row>
    <row r="65" spans="1:10" ht="15" thickBot="1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</row>
    <row r="66" spans="1:10" ht="15" thickBot="1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</row>
    <row r="67" spans="1:10" ht="15" thickBot="1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</row>
    <row r="68" spans="1:10" ht="15" thickBot="1">
      <c r="A68" s="3" t="s">
        <v>92</v>
      </c>
      <c r="B68" s="3"/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</row>
    <row r="69" spans="1:10" ht="15" thickBot="1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</row>
    <row r="70" spans="1:10" ht="15" thickBot="1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</row>
    <row r="71" spans="1:10" ht="15" thickBot="1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</row>
    <row r="72" spans="1:10" ht="15" thickBot="1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</row>
    <row r="73" spans="1:10" ht="15" thickBot="1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</row>
    <row r="74" spans="1:10" ht="15" thickBot="1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</row>
    <row r="75" spans="1:10" ht="15" thickBot="1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</row>
    <row r="76" spans="1:10" ht="15" thickBot="1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</row>
    <row r="77" spans="1:10" ht="15" thickBot="1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</row>
    <row r="78" spans="1:10" ht="15" thickBot="1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</row>
    <row r="79" spans="1:10" ht="15" thickBot="1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</row>
    <row r="80" spans="1:10" ht="15" thickBot="1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</row>
    <row r="81" spans="1:10" ht="15" thickBot="1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</row>
    <row r="82" spans="1:10" ht="15" thickBot="1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</row>
    <row r="83" spans="1:10" ht="15" thickBot="1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</row>
    <row r="84" spans="1:10" ht="15" thickBot="1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3"/>
      <c r="J84" s="3">
        <v>339.51</v>
      </c>
    </row>
    <row r="85" spans="1:10" ht="15" thickBot="1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</row>
    <row r="86" spans="1:10" ht="15" thickBot="1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</row>
    <row r="87" spans="1:10" ht="15" thickBot="1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</row>
    <row r="88" spans="1:10" ht="15" thickBot="1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</row>
    <row r="89" spans="1:10" ht="15" thickBot="1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</row>
    <row r="90" spans="1:10" ht="15" thickBot="1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</row>
    <row r="91" spans="1:10" ht="15" thickBot="1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</row>
    <row r="92" spans="1:10" ht="15" thickBot="1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</row>
    <row r="93" spans="1:10" ht="15" thickBot="1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</row>
    <row r="94" spans="1:10" ht="15" thickBot="1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</row>
    <row r="95" spans="1:10" ht="15" thickBot="1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</row>
    <row r="96" spans="1:10" ht="15" thickBot="1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3"/>
      <c r="J96" s="3">
        <v>55.25</v>
      </c>
    </row>
    <row r="97" spans="1:10" ht="15" thickBot="1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</row>
    <row r="98" spans="1:10" ht="15" thickBot="1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</row>
    <row r="99" spans="1:10" ht="15" thickBot="1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</row>
    <row r="100" spans="1:10" ht="15" thickBot="1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</row>
    <row r="101" spans="1:10" ht="15" thickBot="1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</row>
    <row r="102" spans="1:10" ht="15" thickBot="1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</row>
    <row r="103" spans="1:10" ht="15" thickBot="1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</row>
    <row r="104" spans="1:10" ht="15" thickBot="1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</row>
    <row r="105" spans="1:10" ht="15" thickBot="1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</row>
    <row r="106" spans="1:10" ht="15" thickBot="1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</row>
    <row r="107" spans="1:10" ht="15" thickBot="1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</row>
    <row r="108" spans="1:10" ht="15" thickBot="1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</row>
    <row r="109" spans="1:10" ht="15" thickBot="1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</row>
    <row r="110" spans="1:10" ht="15" thickBot="1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</row>
    <row r="111" spans="1:10" ht="15" thickBot="1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</row>
    <row r="112" spans="1:10" ht="15" thickBot="1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</row>
    <row r="113" spans="1:10" ht="15" thickBot="1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</row>
    <row r="114" spans="1:10" ht="15" thickBot="1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</row>
    <row r="115" spans="1:10" ht="15" thickBot="1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</row>
    <row r="116" spans="1:10" ht="15" thickBot="1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</row>
    <row r="117" spans="1:10" ht="15" thickBot="1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</row>
    <row r="118" spans="1:10" ht="15" thickBot="1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</row>
    <row r="119" spans="1:10" ht="15" thickBot="1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</row>
    <row r="120" spans="1:10" ht="15" thickBot="1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</row>
    <row r="121" spans="1:10" ht="15" thickBot="1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</row>
    <row r="122" spans="1:10" ht="15" thickBot="1">
      <c r="A122" s="3" t="s">
        <v>146</v>
      </c>
      <c r="B122" s="3"/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</row>
    <row r="123" spans="1:10" ht="15" thickBot="1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</row>
    <row r="124" spans="1:10" ht="15" thickBot="1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</row>
    <row r="125" spans="1:10" ht="15" thickBot="1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</row>
    <row r="126" spans="1:10" ht="15" thickBot="1">
      <c r="A126" s="3" t="s">
        <v>150</v>
      </c>
      <c r="B126" s="3"/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</row>
    <row r="127" spans="1:10" ht="15" thickBot="1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</row>
    <row r="128" spans="1:10" ht="15" thickBot="1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</row>
    <row r="129" spans="1:10" ht="15" thickBot="1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</row>
    <row r="130" spans="1:10" ht="15" thickBot="1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</row>
    <row r="131" spans="1:10" ht="15" thickBot="1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</row>
    <row r="132" spans="1:10" ht="15" thickBot="1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</row>
    <row r="133" spans="1:10" ht="15" thickBot="1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</row>
    <row r="134" spans="1:10" ht="15" thickBot="1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</row>
    <row r="135" spans="1:10" ht="15" thickBot="1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3"/>
      <c r="I135" s="3">
        <v>268.45999999999998</v>
      </c>
      <c r="J135" s="3">
        <v>199.19</v>
      </c>
    </row>
    <row r="136" spans="1:10" ht="15" thickBot="1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</row>
    <row r="137" spans="1:10" ht="15" thickBot="1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</row>
    <row r="138" spans="1:10" ht="15" thickBot="1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</row>
    <row r="139" spans="1:10" ht="15" thickBot="1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</row>
    <row r="140" spans="1:10" ht="15" thickBot="1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</row>
    <row r="141" spans="1:10" ht="15" thickBot="1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</row>
    <row r="142" spans="1:10" ht="15" thickBot="1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</row>
    <row r="143" spans="1:10" ht="15" thickBot="1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</row>
    <row r="144" spans="1:10" ht="15" thickBot="1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</row>
    <row r="145" spans="1:10" ht="15" thickBot="1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</row>
    <row r="146" spans="1:10" ht="15" thickBot="1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</row>
    <row r="147" spans="1:10" ht="15" thickBot="1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</row>
    <row r="148" spans="1:10" ht="15" thickBot="1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</row>
    <row r="149" spans="1:10" ht="15" thickBot="1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</row>
    <row r="150" spans="1:10" ht="15" thickBot="1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</row>
    <row r="151" spans="1:10" ht="15" thickBot="1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</row>
    <row r="152" spans="1:10" ht="15" thickBot="1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</row>
    <row r="153" spans="1:10" ht="15" thickBot="1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</row>
    <row r="154" spans="1:10" ht="15" thickBot="1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</row>
    <row r="155" spans="1:10" ht="15" thickBot="1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</row>
    <row r="156" spans="1:10" ht="15" thickBot="1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</row>
    <row r="157" spans="1:10" ht="15" thickBot="1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</row>
    <row r="158" spans="1:10" ht="15" thickBot="1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</row>
    <row r="159" spans="1:10" ht="15" thickBot="1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</row>
    <row r="160" spans="1:10" ht="15" thickBot="1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</row>
    <row r="161" spans="1:10" ht="15" thickBot="1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3"/>
      <c r="J161" s="3">
        <v>220.75</v>
      </c>
    </row>
    <row r="162" spans="1:10" ht="15" thickBot="1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</row>
    <row r="163" spans="1:10" ht="15" thickBot="1">
      <c r="A163" s="3" t="s">
        <v>187</v>
      </c>
      <c r="B163" s="3" t="s">
        <v>22</v>
      </c>
      <c r="C163" s="3" t="s">
        <v>31</v>
      </c>
      <c r="D163" s="3"/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</row>
    <row r="164" spans="1:10" ht="15" thickBot="1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</row>
    <row r="165" spans="1:10" ht="15" thickBot="1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</row>
    <row r="166" spans="1:10" ht="15" thickBot="1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</row>
    <row r="167" spans="1:10" ht="15" thickBot="1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</row>
    <row r="168" spans="1:10" ht="15" thickBot="1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</row>
    <row r="169" spans="1:10" ht="15" thickBot="1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</row>
    <row r="170" spans="1:10" ht="15" thickBot="1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</row>
    <row r="171" spans="1:10" ht="15" thickBot="1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</row>
    <row r="172" spans="1:10" ht="15" thickBot="1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</row>
    <row r="173" spans="1:10" ht="15" thickBot="1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</row>
    <row r="174" spans="1:10" ht="15" thickBot="1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</row>
    <row r="175" spans="1:10" ht="15" thickBot="1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</row>
    <row r="176" spans="1:10" ht="15" thickBot="1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</row>
    <row r="177" spans="1:10" ht="15" thickBot="1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</row>
    <row r="178" spans="1:10" ht="15" thickBot="1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</row>
    <row r="179" spans="1:10" ht="15" thickBot="1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</row>
    <row r="180" spans="1:10" ht="15" thickBot="1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</row>
    <row r="181" spans="1:10" ht="15" thickBot="1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</row>
    <row r="182" spans="1:10" ht="15" thickBot="1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</row>
    <row r="183" spans="1:10" ht="15" thickBot="1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</row>
    <row r="184" spans="1:10" ht="15" thickBot="1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</row>
    <row r="185" spans="1:10" ht="15" thickBot="1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</row>
    <row r="186" spans="1:10" ht="15" thickBot="1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</row>
    <row r="187" spans="1:10" ht="15" thickBot="1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</row>
    <row r="188" spans="1:10" ht="15" thickBot="1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</row>
    <row r="189" spans="1:10" ht="15" thickBot="1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</row>
    <row r="190" spans="1:10" ht="15" thickBot="1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</row>
    <row r="191" spans="1:10" ht="15" thickBot="1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</row>
    <row r="192" spans="1:10" ht="15" thickBot="1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</row>
    <row r="193" spans="1:10" ht="15" thickBot="1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</row>
    <row r="194" spans="1:10" ht="15" thickBot="1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</row>
    <row r="195" spans="1:10" ht="15" thickBot="1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</row>
    <row r="196" spans="1:10" ht="15" thickBot="1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</row>
    <row r="197" spans="1:10" ht="15" thickBot="1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</row>
    <row r="198" spans="1:10" ht="15" thickBot="1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</row>
    <row r="199" spans="1:10" ht="15" thickBot="1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</row>
    <row r="200" spans="1:10" ht="15" thickBot="1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</row>
    <row r="201" spans="1:10" ht="15" thickBot="1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</row>
    <row r="202" spans="1:10" ht="15" thickBot="1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</row>
    <row r="203" spans="1:10" ht="15" thickBot="1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</row>
    <row r="204" spans="1:10" ht="15" thickBot="1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3"/>
      <c r="I204" s="3">
        <v>407.81</v>
      </c>
      <c r="J204" s="3">
        <v>351.95</v>
      </c>
    </row>
    <row r="205" spans="1:10" ht="15" thickBot="1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</row>
    <row r="206" spans="1:10" ht="15" thickBot="1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</row>
    <row r="207" spans="1:10" ht="15" thickBot="1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</row>
    <row r="208" spans="1:10" ht="15" thickBot="1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</row>
    <row r="209" spans="1:10" ht="15" thickBot="1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</row>
    <row r="210" spans="1:10" ht="15" thickBot="1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</row>
    <row r="211" spans="1:10" ht="15" thickBot="1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</row>
    <row r="212" spans="1:10" ht="15" thickBot="1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</row>
    <row r="213" spans="1:10" ht="15" thickBot="1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</row>
    <row r="214" spans="1:10" ht="15" thickBot="1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</row>
    <row r="215" spans="1:10" ht="15" thickBot="1">
      <c r="A215" s="3" t="s">
        <v>239</v>
      </c>
      <c r="B215" s="3" t="s">
        <v>11</v>
      </c>
      <c r="C215" s="3" t="s">
        <v>50</v>
      </c>
      <c r="D215" s="3"/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</row>
    <row r="216" spans="1:10" ht="15" thickBot="1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</row>
    <row r="217" spans="1:10" ht="15" thickBot="1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</row>
    <row r="218" spans="1:10" ht="15" thickBot="1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</row>
    <row r="219" spans="1:10" ht="15" thickBot="1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</row>
    <row r="220" spans="1:10" ht="15" thickBot="1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</row>
    <row r="221" spans="1:10" ht="15" thickBot="1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</row>
    <row r="222" spans="1:10" ht="15" thickBot="1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</row>
    <row r="223" spans="1:10" ht="15" thickBot="1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</row>
    <row r="224" spans="1:10" ht="15" thickBot="1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</row>
    <row r="225" spans="1:10" ht="15" thickBot="1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</row>
    <row r="226" spans="1:10" ht="15" thickBot="1">
      <c r="A226" s="3" t="s">
        <v>250</v>
      </c>
      <c r="B226" s="3"/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</row>
    <row r="227" spans="1:10" ht="15" thickBot="1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</row>
    <row r="228" spans="1:10" ht="15" thickBot="1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</row>
    <row r="229" spans="1:10" ht="15" thickBot="1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</row>
    <row r="230" spans="1:10" ht="15" thickBot="1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</row>
    <row r="231" spans="1:10" ht="15" thickBot="1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</row>
    <row r="232" spans="1:10" ht="15" thickBot="1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3"/>
      <c r="I232" s="3">
        <v>49.37</v>
      </c>
      <c r="J232" s="3">
        <v>39.32</v>
      </c>
    </row>
    <row r="233" spans="1:10" ht="15" thickBot="1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</row>
    <row r="234" spans="1:10" ht="15" thickBot="1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</row>
    <row r="235" spans="1:10" ht="15" thickBot="1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</row>
    <row r="236" spans="1:10" ht="15" thickBot="1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</row>
    <row r="237" spans="1:10" ht="15" thickBot="1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</row>
    <row r="238" spans="1:10" ht="15" thickBot="1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</row>
    <row r="239" spans="1:10" ht="15" thickBot="1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</row>
    <row r="240" spans="1:10" ht="15" thickBot="1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</row>
    <row r="241" spans="1:10" ht="15" thickBot="1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</row>
    <row r="242" spans="1:10" ht="15" thickBot="1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</row>
    <row r="243" spans="1:10" ht="15" thickBot="1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</row>
    <row r="244" spans="1:10" ht="15" thickBot="1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</row>
    <row r="245" spans="1:10" ht="15" thickBot="1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</row>
    <row r="246" spans="1:10" ht="15" thickBot="1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</row>
    <row r="247" spans="1:10" ht="15" thickBot="1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</row>
    <row r="248" spans="1:10" ht="15" thickBot="1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</row>
    <row r="249" spans="1:10" ht="15" thickBot="1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</row>
    <row r="250" spans="1:10" ht="15" thickBot="1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</row>
    <row r="251" spans="1:10" ht="15" thickBot="1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</row>
    <row r="252" spans="1:10" ht="15" thickBot="1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</row>
    <row r="253" spans="1:10" ht="15" thickBot="1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</row>
    <row r="254" spans="1:10" ht="15" thickBot="1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</row>
    <row r="255" spans="1:10" ht="15" thickBot="1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3"/>
      <c r="I255" s="3">
        <v>298.8</v>
      </c>
      <c r="J255" s="3">
        <v>333.41</v>
      </c>
    </row>
    <row r="256" spans="1:10" ht="15" thickBot="1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</row>
    <row r="257" spans="1:10" ht="15" thickBot="1">
      <c r="A257" s="3" t="s">
        <v>281</v>
      </c>
      <c r="B257" s="3" t="s">
        <v>17</v>
      </c>
      <c r="C257" s="3" t="s">
        <v>12</v>
      </c>
      <c r="D257" s="3"/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</row>
    <row r="258" spans="1:10" ht="15" thickBot="1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</row>
    <row r="259" spans="1:10" ht="15" thickBot="1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</row>
    <row r="260" spans="1:10" ht="15" thickBot="1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</row>
    <row r="261" spans="1:10" ht="15" thickBot="1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3"/>
      <c r="J261" s="3">
        <v>337.1</v>
      </c>
    </row>
    <row r="262" spans="1:10" ht="15" thickBot="1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</row>
    <row r="263" spans="1:10" ht="15" thickBot="1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</row>
    <row r="264" spans="1:10" ht="15" thickBot="1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</row>
    <row r="265" spans="1:10" ht="15" thickBot="1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3"/>
      <c r="J265" s="3">
        <v>155.38</v>
      </c>
    </row>
    <row r="266" spans="1:10" ht="15" thickBot="1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</row>
    <row r="267" spans="1:10" ht="15" thickBot="1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</row>
    <row r="268" spans="1:10" ht="15" thickBot="1">
      <c r="A268" s="3" t="s">
        <v>292</v>
      </c>
      <c r="B268" s="3" t="s">
        <v>22</v>
      </c>
      <c r="C268" s="3" t="s">
        <v>18</v>
      </c>
      <c r="D268" s="3"/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</row>
    <row r="269" spans="1:10" ht="15" thickBot="1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</row>
    <row r="270" spans="1:10" ht="15" thickBot="1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</row>
    <row r="271" spans="1:10" ht="15" thickBot="1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</row>
    <row r="272" spans="1:10" ht="15" thickBot="1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</row>
    <row r="273" spans="1:10" ht="15" thickBot="1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</row>
    <row r="274" spans="1:10" ht="15" thickBot="1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</row>
    <row r="275" spans="1:10" ht="15" thickBot="1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</row>
    <row r="276" spans="1:10" ht="15" thickBot="1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</row>
    <row r="277" spans="1:10" ht="15" thickBot="1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</row>
    <row r="278" spans="1:10" ht="15" thickBot="1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</row>
    <row r="279" spans="1:10" ht="15" thickBot="1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</row>
    <row r="280" spans="1:10" ht="15" thickBot="1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</row>
    <row r="281" spans="1:10" ht="15" thickBot="1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</row>
    <row r="282" spans="1:10" ht="15" thickBot="1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</row>
    <row r="283" spans="1:10" ht="15" thickBot="1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</row>
    <row r="284" spans="1:10" ht="15" thickBot="1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</row>
    <row r="285" spans="1:10" ht="15" thickBot="1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</row>
    <row r="286" spans="1:10" ht="15" thickBot="1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</row>
    <row r="287" spans="1:10" ht="15" thickBot="1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</row>
    <row r="288" spans="1:10" ht="15" thickBot="1">
      <c r="A288" s="3" t="s">
        <v>312</v>
      </c>
      <c r="B288" s="3" t="s">
        <v>11</v>
      </c>
      <c r="C288" s="3" t="s">
        <v>12</v>
      </c>
      <c r="D288" s="3"/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</row>
    <row r="289" spans="1:10" ht="15" thickBot="1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</row>
    <row r="290" spans="1:10" ht="15" thickBot="1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</row>
    <row r="291" spans="1:10" ht="15" thickBot="1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</row>
    <row r="292" spans="1:10" ht="15" thickBot="1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3"/>
      <c r="J292" s="3">
        <v>278.77999999999997</v>
      </c>
    </row>
    <row r="293" spans="1:10" ht="15" thickBot="1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3"/>
      <c r="I293" s="3">
        <v>173.84</v>
      </c>
      <c r="J293" s="3">
        <v>298.88</v>
      </c>
    </row>
    <row r="294" spans="1:10" ht="15" thickBot="1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</row>
    <row r="295" spans="1:10" ht="15" thickBot="1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</row>
    <row r="296" spans="1:10" ht="15" thickBot="1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</row>
    <row r="297" spans="1:10" ht="15" thickBot="1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</row>
    <row r="298" spans="1:10" ht="15" thickBot="1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3"/>
      <c r="I298" s="3">
        <v>387.45</v>
      </c>
      <c r="J298" s="3">
        <v>150.63999999999999</v>
      </c>
    </row>
    <row r="299" spans="1:10" ht="15" thickBot="1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</row>
    <row r="300" spans="1:10" ht="15" thickBot="1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</row>
    <row r="301" spans="1:10" ht="15" thickBot="1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</row>
    <row r="302" spans="1:10" ht="15" thickBot="1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</row>
    <row r="303" spans="1:10" ht="15" thickBot="1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</row>
    <row r="304" spans="1:10" ht="15" thickBot="1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</row>
    <row r="305" spans="1:10" ht="15" thickBot="1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</row>
    <row r="306" spans="1:10" ht="15" thickBot="1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</row>
    <row r="307" spans="1:10" ht="15" thickBot="1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</row>
    <row r="308" spans="1:10" ht="15" thickBot="1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</row>
    <row r="309" spans="1:10" ht="15" thickBot="1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</row>
    <row r="310" spans="1:10" ht="15" thickBot="1">
      <c r="A310" s="3" t="s">
        <v>334</v>
      </c>
      <c r="B310" s="3" t="s">
        <v>22</v>
      </c>
      <c r="C310" s="3" t="s">
        <v>12</v>
      </c>
      <c r="D310" s="3"/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</row>
    <row r="311" spans="1:10" ht="15" thickBot="1">
      <c r="A311" s="3" t="s">
        <v>335</v>
      </c>
      <c r="B311" s="3" t="s">
        <v>17</v>
      </c>
      <c r="C311" s="3" t="s">
        <v>31</v>
      </c>
      <c r="D311" s="3"/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</row>
    <row r="312" spans="1:10" ht="15" thickBot="1">
      <c r="A312" s="3" t="s">
        <v>336</v>
      </c>
      <c r="B312" s="3" t="s">
        <v>48</v>
      </c>
      <c r="C312" s="3" t="s">
        <v>50</v>
      </c>
      <c r="D312" s="3"/>
      <c r="E312" s="3" t="s">
        <v>14</v>
      </c>
      <c r="F312" s="3" t="s">
        <v>28</v>
      </c>
      <c r="G312" s="4">
        <v>45234</v>
      </c>
      <c r="H312" s="3">
        <v>157</v>
      </c>
      <c r="I312" s="3"/>
      <c r="J312" s="3">
        <v>274.99</v>
      </c>
    </row>
    <row r="313" spans="1:10" ht="15" thickBot="1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</row>
    <row r="314" spans="1:10" ht="15" thickBot="1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</row>
    <row r="315" spans="1:10" ht="15" thickBot="1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</row>
    <row r="316" spans="1:10" ht="15" thickBot="1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</row>
    <row r="317" spans="1:10" ht="15" thickBot="1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</row>
    <row r="318" spans="1:10" ht="15" thickBot="1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3"/>
      <c r="I318" s="3">
        <v>192.35</v>
      </c>
      <c r="J318" s="3">
        <v>227.09</v>
      </c>
    </row>
    <row r="319" spans="1:10" ht="15" thickBot="1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</row>
    <row r="320" spans="1:10" ht="15" thickBot="1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</row>
    <row r="321" spans="1:10" ht="15" thickBot="1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3"/>
      <c r="I321" s="3">
        <v>225.94</v>
      </c>
      <c r="J321" s="3">
        <v>280.7</v>
      </c>
    </row>
    <row r="322" spans="1:10" ht="15" thickBot="1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</row>
    <row r="323" spans="1:10" ht="15" thickBot="1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</row>
    <row r="324" spans="1:10" ht="15" thickBot="1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</row>
    <row r="325" spans="1:10" ht="15" thickBot="1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</row>
    <row r="326" spans="1:10" ht="15" thickBot="1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</row>
    <row r="327" spans="1:10" ht="15" thickBot="1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</row>
    <row r="328" spans="1:10" ht="15" thickBot="1">
      <c r="A328" s="3" t="s">
        <v>352</v>
      </c>
      <c r="B328" s="3" t="s">
        <v>48</v>
      </c>
      <c r="C328" s="3" t="s">
        <v>18</v>
      </c>
      <c r="D328" s="3"/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</row>
    <row r="329" spans="1:10" ht="15" thickBot="1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</row>
    <row r="330" spans="1:10" ht="15" thickBot="1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</row>
    <row r="331" spans="1:10" ht="15" thickBot="1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</row>
    <row r="332" spans="1:10" ht="15" thickBot="1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3"/>
      <c r="I332" s="3">
        <v>5.61</v>
      </c>
      <c r="J332" s="3">
        <v>193.4</v>
      </c>
    </row>
    <row r="333" spans="1:10" ht="15" thickBot="1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</row>
    <row r="334" spans="1:10" ht="15" thickBot="1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</row>
    <row r="335" spans="1:10" ht="15" thickBot="1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</row>
    <row r="336" spans="1:10" ht="15" thickBot="1">
      <c r="A336" s="3" t="s">
        <v>360</v>
      </c>
      <c r="B336" s="3"/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</row>
    <row r="337" spans="1:10" ht="15" thickBot="1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</row>
    <row r="338" spans="1:10" ht="15" thickBot="1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</row>
    <row r="339" spans="1:10" ht="15" thickBot="1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</row>
    <row r="340" spans="1:10" ht="15" thickBot="1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</row>
    <row r="341" spans="1:10" ht="15" thickBot="1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</row>
    <row r="342" spans="1:10" ht="15" thickBot="1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</row>
    <row r="343" spans="1:10" ht="15" thickBot="1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</row>
    <row r="344" spans="1:10" ht="15" thickBot="1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</row>
    <row r="345" spans="1:10" ht="15" thickBot="1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</row>
    <row r="346" spans="1:10" ht="15" thickBot="1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</row>
    <row r="347" spans="1:10" ht="15" thickBot="1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</row>
    <row r="348" spans="1:10" ht="15" thickBot="1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</row>
    <row r="349" spans="1:10" ht="15" thickBot="1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</row>
    <row r="350" spans="1:10" ht="15" thickBot="1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</row>
    <row r="351" spans="1:10" ht="15" thickBot="1">
      <c r="A351" s="3" t="s">
        <v>375</v>
      </c>
      <c r="B351" s="3"/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</row>
    <row r="352" spans="1:10" ht="15" thickBot="1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</row>
    <row r="353" spans="1:10" ht="15" thickBot="1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</row>
    <row r="354" spans="1:10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 s="5">
        <v>425</v>
      </c>
      <c r="I354" s="5">
        <v>174.13</v>
      </c>
      <c r="J354" s="5">
        <v>315.27999999999997</v>
      </c>
    </row>
    <row r="356" spans="1:10">
      <c r="A356" s="7" t="s">
        <v>396</v>
      </c>
      <c r="C356" s="7" t="s">
        <v>395</v>
      </c>
    </row>
    <row r="357" spans="1:10">
      <c r="A357" s="11">
        <f>AVERAGE(Table16[Units Sold])</f>
        <v>255.90294117647059</v>
      </c>
      <c r="C357" s="11">
        <f>AVERAGE(Table16[Unit Price])</f>
        <v>249.64520588235297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A330-4AD9-461A-93C7-B544A5F0759E}">
  <dimension ref="A1:K354"/>
  <sheetViews>
    <sheetView tabSelected="1" workbookViewId="0">
      <selection activeCell="K6" sqref="K6"/>
    </sheetView>
  </sheetViews>
  <sheetFormatPr defaultRowHeight="14.4"/>
  <cols>
    <col min="1" max="1" width="12.44140625" bestFit="1" customWidth="1"/>
    <col min="2" max="2" width="11.21875" bestFit="1" customWidth="1"/>
    <col min="3" max="3" width="12.21875" bestFit="1" customWidth="1"/>
    <col min="4" max="4" width="13" bestFit="1" customWidth="1"/>
    <col min="5" max="5" width="12.33203125" bestFit="1" customWidth="1"/>
    <col min="6" max="6" width="11.5546875" bestFit="1" customWidth="1"/>
    <col min="7" max="7" width="15.44140625" bestFit="1" customWidth="1"/>
    <col min="8" max="8" width="9.77734375" bestFit="1" customWidth="1"/>
    <col min="9" max="9" width="9.5546875" bestFit="1" customWidth="1"/>
    <col min="10" max="10" width="13.109375" bestFit="1" customWidth="1"/>
    <col min="11" max="11" width="12.77734375" bestFit="1" customWidth="1"/>
  </cols>
  <sheetData>
    <row r="1" spans="1:11">
      <c r="A1" s="7" t="s">
        <v>397</v>
      </c>
    </row>
    <row r="2" spans="1:11">
      <c r="A2" s="7" t="s">
        <v>398</v>
      </c>
    </row>
    <row r="3" spans="1:11">
      <c r="A3" s="7"/>
      <c r="B3" s="7"/>
    </row>
    <row r="4" spans="1:11" ht="29.4" thickBo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15" t="s">
        <v>399</v>
      </c>
    </row>
    <row r="5" spans="1:11" ht="15" thickBo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  <c r="K5" s="16">
        <f>Table17[[#This Row],[Units Sold]]*Table17[[#This Row],[Unit Price]]</f>
        <v>35936.199999999997</v>
      </c>
    </row>
    <row r="6" spans="1:11" ht="15" thickBot="1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  <c r="K6" s="17">
        <f>Table17[[#This Row],[Units Sold]]*Table17[[#This Row],[Unit Price]]</f>
        <v>159560.72</v>
      </c>
    </row>
    <row r="7" spans="1:11" ht="15" thickBot="1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  <c r="K7" s="17">
        <f>Table17[[#This Row],[Units Sold]]*Table17[[#This Row],[Unit Price]]</f>
        <v>84835.26</v>
      </c>
    </row>
    <row r="8" spans="1:11" ht="15" thickBot="1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  <c r="K8" s="17">
        <f>Table17[[#This Row],[Units Sold]]*Table17[[#This Row],[Unit Price]]</f>
        <v>5661.5399999999991</v>
      </c>
    </row>
    <row r="9" spans="1:11" ht="15" thickBot="1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  <c r="K9" s="17">
        <f>Table17[[#This Row],[Units Sold]]*Table17[[#This Row],[Unit Price]]</f>
        <v>185396.88</v>
      </c>
    </row>
    <row r="10" spans="1:11" ht="15" thickBot="1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  <c r="K10" s="17">
        <f>Table17[[#This Row],[Units Sold]]*Table17[[#This Row],[Unit Price]]</f>
        <v>15095.43</v>
      </c>
    </row>
    <row r="11" spans="1:11" ht="15" thickBot="1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  <c r="K11" s="17">
        <f>Table17[[#This Row],[Units Sold]]*Table17[[#This Row],[Unit Price]]</f>
        <v>8322.52</v>
      </c>
    </row>
    <row r="12" spans="1:11" ht="15" thickBot="1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  <c r="K12" s="17">
        <f>Table17[[#This Row],[Units Sold]]*Table17[[#This Row],[Unit Price]]</f>
        <v>89669.7</v>
      </c>
    </row>
    <row r="13" spans="1:11" ht="15" thickBot="1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  <c r="K13" s="17">
        <f>Table17[[#This Row],[Units Sold]]*Table17[[#This Row],[Unit Price]]</f>
        <v>112610.96</v>
      </c>
    </row>
    <row r="14" spans="1:11" ht="15" thickBot="1">
      <c r="A14" s="3" t="s">
        <v>35</v>
      </c>
      <c r="B14" s="3"/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  <c r="K14" s="17">
        <f>Table17[[#This Row],[Units Sold]]*Table17[[#This Row],[Unit Price]]</f>
        <v>135939</v>
      </c>
    </row>
    <row r="15" spans="1:11" ht="15" thickBot="1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  <c r="K15" s="17">
        <f>Table17[[#This Row],[Units Sold]]*Table17[[#This Row],[Unit Price]]</f>
        <v>92355</v>
      </c>
    </row>
    <row r="16" spans="1:11" ht="15" thickBot="1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  <c r="K16" s="17">
        <f>Table17[[#This Row],[Units Sold]]*Table17[[#This Row],[Unit Price]]</f>
        <v>116907.05</v>
      </c>
    </row>
    <row r="17" spans="1:11" ht="15" thickBot="1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  <c r="K17" s="17">
        <f>Table17[[#This Row],[Units Sold]]*Table17[[#This Row],[Unit Price]]</f>
        <v>3347.61</v>
      </c>
    </row>
    <row r="18" spans="1:11" ht="15" thickBot="1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  <c r="K18" s="17">
        <f>Table17[[#This Row],[Units Sold]]*Table17[[#This Row],[Unit Price]]</f>
        <v>40676.960000000006</v>
      </c>
    </row>
    <row r="19" spans="1:11" ht="15" thickBot="1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  <c r="K19" s="17">
        <f>Table17[[#This Row],[Units Sold]]*Table17[[#This Row],[Unit Price]]</f>
        <v>10439.17</v>
      </c>
    </row>
    <row r="20" spans="1:11" ht="15" thickBot="1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  <c r="K20" s="17">
        <f>Table17[[#This Row],[Units Sold]]*Table17[[#This Row],[Unit Price]]</f>
        <v>122597.23000000001</v>
      </c>
    </row>
    <row r="21" spans="1:11" ht="15" thickBot="1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  <c r="K21" s="17">
        <f>Table17[[#This Row],[Units Sold]]*Table17[[#This Row],[Unit Price]]</f>
        <v>77654.2</v>
      </c>
    </row>
    <row r="22" spans="1:11" ht="15" thickBot="1">
      <c r="A22" s="3" t="s">
        <v>44</v>
      </c>
      <c r="B22" s="3"/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  <c r="K22" s="17">
        <f>Table17[[#This Row],[Units Sold]]*Table17[[#This Row],[Unit Price]]</f>
        <v>130106.2</v>
      </c>
    </row>
    <row r="23" spans="1:11" ht="15" thickBot="1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  <c r="K23" s="17">
        <f>Table17[[#This Row],[Units Sold]]*Table17[[#This Row],[Unit Price]]</f>
        <v>44814.400000000001</v>
      </c>
    </row>
    <row r="24" spans="1:11" ht="15" thickBot="1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  <c r="K24" s="17">
        <f>Table17[[#This Row],[Units Sold]]*Table17[[#This Row],[Unit Price]]</f>
        <v>30669.210000000003</v>
      </c>
    </row>
    <row r="25" spans="1:11" ht="15" thickBot="1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  <c r="K25" s="17">
        <f>Table17[[#This Row],[Units Sold]]*Table17[[#This Row],[Unit Price]]</f>
        <v>68990.460000000006</v>
      </c>
    </row>
    <row r="26" spans="1:11" ht="15" thickBot="1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  <c r="K26" s="17">
        <f>Table17[[#This Row],[Units Sold]]*Table17[[#This Row],[Unit Price]]</f>
        <v>110073.62000000001</v>
      </c>
    </row>
    <row r="27" spans="1:11" ht="15" thickBot="1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  <c r="K27" s="17">
        <f>Table17[[#This Row],[Units Sold]]*Table17[[#This Row],[Unit Price]]</f>
        <v>17177.32</v>
      </c>
    </row>
    <row r="28" spans="1:11" ht="15" thickBot="1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  <c r="K28" s="17">
        <f>Table17[[#This Row],[Units Sold]]*Table17[[#This Row],[Unit Price]]</f>
        <v>141882</v>
      </c>
    </row>
    <row r="29" spans="1:11" ht="15" thickBot="1">
      <c r="A29" s="3" t="s">
        <v>53</v>
      </c>
      <c r="B29" s="3" t="s">
        <v>17</v>
      </c>
      <c r="C29" s="3" t="s">
        <v>18</v>
      </c>
      <c r="D29" s="3"/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  <c r="K29" s="17">
        <f>Table17[[#This Row],[Units Sold]]*Table17[[#This Row],[Unit Price]]</f>
        <v>40637.1</v>
      </c>
    </row>
    <row r="30" spans="1:11" ht="15" thickBot="1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  <c r="K30" s="17">
        <f>Table17[[#This Row],[Units Sold]]*Table17[[#This Row],[Unit Price]]</f>
        <v>12506.699999999999</v>
      </c>
    </row>
    <row r="31" spans="1:11" ht="15" thickBot="1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  <c r="K31" s="17">
        <f>Table17[[#This Row],[Units Sold]]*Table17[[#This Row],[Unit Price]]</f>
        <v>24913.79</v>
      </c>
    </row>
    <row r="32" spans="1:11" ht="15" thickBot="1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3"/>
      <c r="J32" s="3">
        <v>383.01</v>
      </c>
      <c r="K32" s="17">
        <f>Table17[[#This Row],[Units Sold]]*Table17[[#This Row],[Unit Price]]</f>
        <v>0</v>
      </c>
    </row>
    <row r="33" spans="1:11" ht="15" thickBot="1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  <c r="K33" s="17">
        <f>Table17[[#This Row],[Units Sold]]*Table17[[#This Row],[Unit Price]]</f>
        <v>154333.9</v>
      </c>
    </row>
    <row r="34" spans="1:11" ht="15" thickBot="1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  <c r="K34" s="17">
        <f>Table17[[#This Row],[Units Sold]]*Table17[[#This Row],[Unit Price]]</f>
        <v>15255</v>
      </c>
    </row>
    <row r="35" spans="1:11" ht="15" thickBot="1">
      <c r="A35" s="3" t="s">
        <v>59</v>
      </c>
      <c r="B35" s="3"/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  <c r="K35" s="17">
        <f>Table17[[#This Row],[Units Sold]]*Table17[[#This Row],[Unit Price]]</f>
        <v>33644.189999999995</v>
      </c>
    </row>
    <row r="36" spans="1:11" ht="15" thickBot="1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  <c r="K36" s="17">
        <f>Table17[[#This Row],[Units Sold]]*Table17[[#This Row],[Unit Price]]</f>
        <v>12209.33</v>
      </c>
    </row>
    <row r="37" spans="1:11" ht="15" thickBot="1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  <c r="K37" s="17">
        <f>Table17[[#This Row],[Units Sold]]*Table17[[#This Row],[Unit Price]]</f>
        <v>14061.6</v>
      </c>
    </row>
    <row r="38" spans="1:11" ht="15" thickBot="1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  <c r="K38" s="17">
        <f>Table17[[#This Row],[Units Sold]]*Table17[[#This Row],[Unit Price]]</f>
        <v>47674.130000000005</v>
      </c>
    </row>
    <row r="39" spans="1:11" ht="15" thickBot="1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  <c r="K39" s="17">
        <f>Table17[[#This Row],[Units Sold]]*Table17[[#This Row],[Unit Price]]</f>
        <v>37336.86</v>
      </c>
    </row>
    <row r="40" spans="1:11" ht="15" thickBot="1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  <c r="K40" s="17">
        <f>Table17[[#This Row],[Units Sold]]*Table17[[#This Row],[Unit Price]]</f>
        <v>75935.38</v>
      </c>
    </row>
    <row r="41" spans="1:11" ht="15" thickBot="1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3"/>
      <c r="J41" s="3">
        <v>332.07</v>
      </c>
      <c r="K41" s="17">
        <f>Table17[[#This Row],[Units Sold]]*Table17[[#This Row],[Unit Price]]</f>
        <v>0</v>
      </c>
    </row>
    <row r="42" spans="1:11" ht="15" thickBot="1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  <c r="K42" s="17">
        <f>Table17[[#This Row],[Units Sold]]*Table17[[#This Row],[Unit Price]]</f>
        <v>82098.899999999994</v>
      </c>
    </row>
    <row r="43" spans="1:11" ht="15" thickBot="1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3"/>
      <c r="I43" s="3">
        <v>91.23</v>
      </c>
      <c r="J43" s="3">
        <v>381.21</v>
      </c>
      <c r="K43" s="17">
        <f>Table17[[#This Row],[Units Sold]]*Table17[[#This Row],[Unit Price]]</f>
        <v>0</v>
      </c>
    </row>
    <row r="44" spans="1:11" ht="15" thickBot="1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  <c r="K44" s="17">
        <f>Table17[[#This Row],[Units Sold]]*Table17[[#This Row],[Unit Price]]</f>
        <v>31238.35</v>
      </c>
    </row>
    <row r="45" spans="1:11" ht="15" thickBot="1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  <c r="K45" s="17">
        <f>Table17[[#This Row],[Units Sold]]*Table17[[#This Row],[Unit Price]]</f>
        <v>10332.630000000001</v>
      </c>
    </row>
    <row r="46" spans="1:11" ht="15" thickBot="1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  <c r="K46" s="17">
        <f>Table17[[#This Row],[Units Sold]]*Table17[[#This Row],[Unit Price]]</f>
        <v>153872.07</v>
      </c>
    </row>
    <row r="47" spans="1:11" ht="15" thickBot="1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  <c r="K47" s="17">
        <f>Table17[[#This Row],[Units Sold]]*Table17[[#This Row],[Unit Price]]</f>
        <v>15495.76</v>
      </c>
    </row>
    <row r="48" spans="1:11" ht="15" thickBot="1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  <c r="K48" s="17">
        <f>Table17[[#This Row],[Units Sold]]*Table17[[#This Row],[Unit Price]]</f>
        <v>131364</v>
      </c>
    </row>
    <row r="49" spans="1:11" ht="15" thickBot="1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3"/>
      <c r="J49" s="3">
        <v>94.56</v>
      </c>
      <c r="K49" s="17">
        <f>Table17[[#This Row],[Units Sold]]*Table17[[#This Row],[Unit Price]]</f>
        <v>0</v>
      </c>
    </row>
    <row r="50" spans="1:11" ht="15" thickBot="1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  <c r="K50" s="17">
        <f>Table17[[#This Row],[Units Sold]]*Table17[[#This Row],[Unit Price]]</f>
        <v>62705.4</v>
      </c>
    </row>
    <row r="51" spans="1:11" ht="15" thickBot="1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  <c r="K51" s="17">
        <f>Table17[[#This Row],[Units Sold]]*Table17[[#This Row],[Unit Price]]</f>
        <v>81631.14</v>
      </c>
    </row>
    <row r="52" spans="1:11" ht="15" thickBot="1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  <c r="K52" s="17">
        <f>Table17[[#This Row],[Units Sold]]*Table17[[#This Row],[Unit Price]]</f>
        <v>70305.53</v>
      </c>
    </row>
    <row r="53" spans="1:11" ht="15" thickBot="1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  <c r="K53" s="17">
        <f>Table17[[#This Row],[Units Sold]]*Table17[[#This Row],[Unit Price]]</f>
        <v>66620.25</v>
      </c>
    </row>
    <row r="54" spans="1:11" ht="15" thickBot="1">
      <c r="A54" s="3" t="s">
        <v>78</v>
      </c>
      <c r="B54" s="3"/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  <c r="K54" s="17">
        <f>Table17[[#This Row],[Units Sold]]*Table17[[#This Row],[Unit Price]]</f>
        <v>3049.8</v>
      </c>
    </row>
    <row r="55" spans="1:11" ht="15" thickBot="1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  <c r="K55" s="17">
        <f>Table17[[#This Row],[Units Sold]]*Table17[[#This Row],[Unit Price]]</f>
        <v>69269.100000000006</v>
      </c>
    </row>
    <row r="56" spans="1:11" ht="15" thickBot="1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  <c r="K56" s="17">
        <f>Table17[[#This Row],[Units Sold]]*Table17[[#This Row],[Unit Price]]</f>
        <v>53995.62</v>
      </c>
    </row>
    <row r="57" spans="1:11" ht="15" thickBot="1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  <c r="K57" s="17">
        <f>Table17[[#This Row],[Units Sold]]*Table17[[#This Row],[Unit Price]]</f>
        <v>30387.87</v>
      </c>
    </row>
    <row r="58" spans="1:11" ht="15" thickBot="1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  <c r="K58" s="17">
        <f>Table17[[#This Row],[Units Sold]]*Table17[[#This Row],[Unit Price]]</f>
        <v>143898.62</v>
      </c>
    </row>
    <row r="59" spans="1:11" ht="15" thickBot="1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  <c r="K59" s="17">
        <f>Table17[[#This Row],[Units Sold]]*Table17[[#This Row],[Unit Price]]</f>
        <v>22387.64</v>
      </c>
    </row>
    <row r="60" spans="1:11" ht="15" thickBot="1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  <c r="K60" s="17">
        <f>Table17[[#This Row],[Units Sold]]*Table17[[#This Row],[Unit Price]]</f>
        <v>33735.480000000003</v>
      </c>
    </row>
    <row r="61" spans="1:11" ht="15" thickBot="1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  <c r="K61" s="17">
        <f>Table17[[#This Row],[Units Sold]]*Table17[[#This Row],[Unit Price]]</f>
        <v>45544.63</v>
      </c>
    </row>
    <row r="62" spans="1:11" ht="15" thickBot="1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  <c r="K62" s="17">
        <f>Table17[[#This Row],[Units Sold]]*Table17[[#This Row],[Unit Price]]</f>
        <v>32534.84</v>
      </c>
    </row>
    <row r="63" spans="1:11" ht="15" thickBot="1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  <c r="K63" s="17">
        <f>Table17[[#This Row],[Units Sold]]*Table17[[#This Row],[Unit Price]]</f>
        <v>54210</v>
      </c>
    </row>
    <row r="64" spans="1:11" ht="15" thickBot="1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  <c r="K64" s="17">
        <f>Table17[[#This Row],[Units Sold]]*Table17[[#This Row],[Unit Price]]</f>
        <v>87635.760000000009</v>
      </c>
    </row>
    <row r="65" spans="1:11" ht="15" thickBot="1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  <c r="K65" s="17">
        <f>Table17[[#This Row],[Units Sold]]*Table17[[#This Row],[Unit Price]]</f>
        <v>22616.28</v>
      </c>
    </row>
    <row r="66" spans="1:11" ht="15" thickBot="1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  <c r="K66" s="17">
        <f>Table17[[#This Row],[Units Sold]]*Table17[[#This Row],[Unit Price]]</f>
        <v>43088.88</v>
      </c>
    </row>
    <row r="67" spans="1:11" ht="15" thickBot="1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  <c r="K67" s="17">
        <f>Table17[[#This Row],[Units Sold]]*Table17[[#This Row],[Unit Price]]</f>
        <v>73932.800000000003</v>
      </c>
    </row>
    <row r="68" spans="1:11" ht="15" thickBot="1">
      <c r="A68" s="3" t="s">
        <v>92</v>
      </c>
      <c r="B68" s="3"/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  <c r="K68" s="17">
        <f>Table17[[#This Row],[Units Sold]]*Table17[[#This Row],[Unit Price]]</f>
        <v>36807.769999999997</v>
      </c>
    </row>
    <row r="69" spans="1:11" ht="15" thickBot="1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  <c r="K69" s="17">
        <f>Table17[[#This Row],[Units Sold]]*Table17[[#This Row],[Unit Price]]</f>
        <v>110565.8</v>
      </c>
    </row>
    <row r="70" spans="1:11" ht="15" thickBot="1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  <c r="K70" s="17">
        <f>Table17[[#This Row],[Units Sold]]*Table17[[#This Row],[Unit Price]]</f>
        <v>63622</v>
      </c>
    </row>
    <row r="71" spans="1:11" ht="15" thickBot="1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  <c r="K71" s="17">
        <f>Table17[[#This Row],[Units Sold]]*Table17[[#This Row],[Unit Price]]</f>
        <v>31087.84</v>
      </c>
    </row>
    <row r="72" spans="1:11" ht="15" thickBot="1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  <c r="K72" s="17">
        <f>Table17[[#This Row],[Units Sold]]*Table17[[#This Row],[Unit Price]]</f>
        <v>111516.94</v>
      </c>
    </row>
    <row r="73" spans="1:11" ht="15" thickBot="1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  <c r="K73" s="17">
        <f>Table17[[#This Row],[Units Sold]]*Table17[[#This Row],[Unit Price]]</f>
        <v>41261.649999999994</v>
      </c>
    </row>
    <row r="74" spans="1:11" ht="15" thickBot="1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  <c r="K74" s="17">
        <f>Table17[[#This Row],[Units Sold]]*Table17[[#This Row],[Unit Price]]</f>
        <v>627.52</v>
      </c>
    </row>
    <row r="75" spans="1:11" ht="15" thickBot="1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  <c r="K75" s="17">
        <f>Table17[[#This Row],[Units Sold]]*Table17[[#This Row],[Unit Price]]</f>
        <v>31438.799999999999</v>
      </c>
    </row>
    <row r="76" spans="1:11" ht="15" thickBot="1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  <c r="K76" s="17">
        <f>Table17[[#This Row],[Units Sold]]*Table17[[#This Row],[Unit Price]]</f>
        <v>12983.24</v>
      </c>
    </row>
    <row r="77" spans="1:11" ht="15" thickBot="1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  <c r="K77" s="17">
        <f>Table17[[#This Row],[Units Sold]]*Table17[[#This Row],[Unit Price]]</f>
        <v>11096.460000000001</v>
      </c>
    </row>
    <row r="78" spans="1:11" ht="15" thickBot="1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  <c r="K78" s="17">
        <f>Table17[[#This Row],[Units Sold]]*Table17[[#This Row],[Unit Price]]</f>
        <v>96412.27</v>
      </c>
    </row>
    <row r="79" spans="1:11" ht="15" thickBot="1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  <c r="K79" s="17">
        <f>Table17[[#This Row],[Units Sold]]*Table17[[#This Row],[Unit Price]]</f>
        <v>75286.98</v>
      </c>
    </row>
    <row r="80" spans="1:11" ht="15" thickBot="1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  <c r="K80" s="17">
        <f>Table17[[#This Row],[Units Sold]]*Table17[[#This Row],[Unit Price]]</f>
        <v>13320</v>
      </c>
    </row>
    <row r="81" spans="1:11" ht="15" thickBot="1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  <c r="K81" s="17">
        <f>Table17[[#This Row],[Units Sold]]*Table17[[#This Row],[Unit Price]]</f>
        <v>1668.8</v>
      </c>
    </row>
    <row r="82" spans="1:11" ht="15" thickBot="1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  <c r="K82" s="17">
        <f>Table17[[#This Row],[Units Sold]]*Table17[[#This Row],[Unit Price]]</f>
        <v>142593</v>
      </c>
    </row>
    <row r="83" spans="1:11" ht="15" thickBot="1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  <c r="K83" s="17">
        <f>Table17[[#This Row],[Units Sold]]*Table17[[#This Row],[Unit Price]]</f>
        <v>64282.53</v>
      </c>
    </row>
    <row r="84" spans="1:11" ht="15" thickBot="1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3"/>
      <c r="J84" s="3">
        <v>339.51</v>
      </c>
      <c r="K84" s="17">
        <f>Table17[[#This Row],[Units Sold]]*Table17[[#This Row],[Unit Price]]</f>
        <v>0</v>
      </c>
    </row>
    <row r="85" spans="1:11" ht="15" thickBot="1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  <c r="K85" s="17">
        <f>Table17[[#This Row],[Units Sold]]*Table17[[#This Row],[Unit Price]]</f>
        <v>159848.4</v>
      </c>
    </row>
    <row r="86" spans="1:11" ht="15" thickBot="1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  <c r="K86" s="17">
        <f>Table17[[#This Row],[Units Sold]]*Table17[[#This Row],[Unit Price]]</f>
        <v>4223.62</v>
      </c>
    </row>
    <row r="87" spans="1:11" ht="15" thickBot="1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  <c r="K87" s="17">
        <f>Table17[[#This Row],[Units Sold]]*Table17[[#This Row],[Unit Price]]</f>
        <v>49475.42</v>
      </c>
    </row>
    <row r="88" spans="1:11" ht="15" thickBot="1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  <c r="K88" s="17">
        <f>Table17[[#This Row],[Units Sold]]*Table17[[#This Row],[Unit Price]]</f>
        <v>14465.28</v>
      </c>
    </row>
    <row r="89" spans="1:11" ht="15" thickBot="1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  <c r="K89" s="17">
        <f>Table17[[#This Row],[Units Sold]]*Table17[[#This Row],[Unit Price]]</f>
        <v>85372.4</v>
      </c>
    </row>
    <row r="90" spans="1:11" ht="15" thickBot="1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  <c r="K90" s="17">
        <f>Table17[[#This Row],[Units Sold]]*Table17[[#This Row],[Unit Price]]</f>
        <v>11132.03</v>
      </c>
    </row>
    <row r="91" spans="1:11" ht="15" thickBot="1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  <c r="K91" s="17">
        <f>Table17[[#This Row],[Units Sold]]*Table17[[#This Row],[Unit Price]]</f>
        <v>44223.4</v>
      </c>
    </row>
    <row r="92" spans="1:11" ht="15" thickBot="1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  <c r="K92" s="17">
        <f>Table17[[#This Row],[Units Sold]]*Table17[[#This Row],[Unit Price]]</f>
        <v>118131.48</v>
      </c>
    </row>
    <row r="93" spans="1:11" ht="15" thickBot="1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  <c r="K93" s="17">
        <f>Table17[[#This Row],[Units Sold]]*Table17[[#This Row],[Unit Price]]</f>
        <v>48117</v>
      </c>
    </row>
    <row r="94" spans="1:11" ht="15" thickBot="1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  <c r="K94" s="17">
        <f>Table17[[#This Row],[Units Sold]]*Table17[[#This Row],[Unit Price]]</f>
        <v>14515.939999999999</v>
      </c>
    </row>
    <row r="95" spans="1:11" ht="15" thickBot="1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  <c r="K95" s="17">
        <f>Table17[[#This Row],[Units Sold]]*Table17[[#This Row],[Unit Price]]</f>
        <v>110390.04</v>
      </c>
    </row>
    <row r="96" spans="1:11" ht="15" thickBot="1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3"/>
      <c r="J96" s="3">
        <v>55.25</v>
      </c>
      <c r="K96" s="17">
        <f>Table17[[#This Row],[Units Sold]]*Table17[[#This Row],[Unit Price]]</f>
        <v>0</v>
      </c>
    </row>
    <row r="97" spans="1:11" ht="15" thickBot="1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  <c r="K97" s="17">
        <f>Table17[[#This Row],[Units Sold]]*Table17[[#This Row],[Unit Price]]</f>
        <v>23453.600000000002</v>
      </c>
    </row>
    <row r="98" spans="1:11" ht="15" thickBot="1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  <c r="K98" s="17">
        <f>Table17[[#This Row],[Units Sold]]*Table17[[#This Row],[Unit Price]]</f>
        <v>104408.73</v>
      </c>
    </row>
    <row r="99" spans="1:11" ht="15" thickBot="1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  <c r="K99" s="17">
        <f>Table17[[#This Row],[Units Sold]]*Table17[[#This Row],[Unit Price]]</f>
        <v>68968</v>
      </c>
    </row>
    <row r="100" spans="1:11" ht="15" thickBot="1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  <c r="K100" s="17">
        <f>Table17[[#This Row],[Units Sold]]*Table17[[#This Row],[Unit Price]]</f>
        <v>10440.1</v>
      </c>
    </row>
    <row r="101" spans="1:11" ht="15" thickBot="1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  <c r="K101" s="17">
        <f>Table17[[#This Row],[Units Sold]]*Table17[[#This Row],[Unit Price]]</f>
        <v>7150</v>
      </c>
    </row>
    <row r="102" spans="1:11" ht="15" thickBot="1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  <c r="K102" s="17">
        <f>Table17[[#This Row],[Units Sold]]*Table17[[#This Row],[Unit Price]]</f>
        <v>29984.120000000003</v>
      </c>
    </row>
    <row r="103" spans="1:11" ht="15" thickBot="1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  <c r="K103" s="17">
        <f>Table17[[#This Row],[Units Sold]]*Table17[[#This Row],[Unit Price]]</f>
        <v>23519.16</v>
      </c>
    </row>
    <row r="104" spans="1:11" ht="15" thickBot="1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  <c r="K104" s="17">
        <f>Table17[[#This Row],[Units Sold]]*Table17[[#This Row],[Unit Price]]</f>
        <v>73747.08</v>
      </c>
    </row>
    <row r="105" spans="1:11" ht="15" thickBot="1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  <c r="K105" s="17">
        <f>Table17[[#This Row],[Units Sold]]*Table17[[#This Row],[Unit Price]]</f>
        <v>4721.08</v>
      </c>
    </row>
    <row r="106" spans="1:11" ht="15" thickBot="1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  <c r="K106" s="17">
        <f>Table17[[#This Row],[Units Sold]]*Table17[[#This Row],[Unit Price]]</f>
        <v>99294.209999999992</v>
      </c>
    </row>
    <row r="107" spans="1:11" ht="15" thickBot="1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  <c r="K107" s="17">
        <f>Table17[[#This Row],[Units Sold]]*Table17[[#This Row],[Unit Price]]</f>
        <v>90941.680000000008</v>
      </c>
    </row>
    <row r="108" spans="1:11" ht="15" thickBot="1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  <c r="K108" s="17">
        <f>Table17[[#This Row],[Units Sold]]*Table17[[#This Row],[Unit Price]]</f>
        <v>128563.71</v>
      </c>
    </row>
    <row r="109" spans="1:11" ht="15" thickBot="1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  <c r="K109" s="17">
        <f>Table17[[#This Row],[Units Sold]]*Table17[[#This Row],[Unit Price]]</f>
        <v>44512.149999999994</v>
      </c>
    </row>
    <row r="110" spans="1:11" ht="15" thickBot="1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  <c r="K110" s="17">
        <f>Table17[[#This Row],[Units Sold]]*Table17[[#This Row],[Unit Price]]</f>
        <v>197785.03</v>
      </c>
    </row>
    <row r="111" spans="1:11" ht="15" thickBot="1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  <c r="K111" s="17">
        <f>Table17[[#This Row],[Units Sold]]*Table17[[#This Row],[Unit Price]]</f>
        <v>99291.839999999997</v>
      </c>
    </row>
    <row r="112" spans="1:11" ht="15" thickBot="1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  <c r="K112" s="17">
        <f>Table17[[#This Row],[Units Sold]]*Table17[[#This Row],[Unit Price]]</f>
        <v>101821.5</v>
      </c>
    </row>
    <row r="113" spans="1:11" ht="15" thickBot="1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  <c r="K113" s="17">
        <f>Table17[[#This Row],[Units Sold]]*Table17[[#This Row],[Unit Price]]</f>
        <v>3770.2400000000002</v>
      </c>
    </row>
    <row r="114" spans="1:11" ht="15" thickBot="1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  <c r="K114" s="17">
        <f>Table17[[#This Row],[Units Sold]]*Table17[[#This Row],[Unit Price]]</f>
        <v>165292.35</v>
      </c>
    </row>
    <row r="115" spans="1:11" ht="15" thickBot="1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  <c r="K115" s="17">
        <f>Table17[[#This Row],[Units Sold]]*Table17[[#This Row],[Unit Price]]</f>
        <v>31354.120000000003</v>
      </c>
    </row>
    <row r="116" spans="1:11" ht="15" thickBot="1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  <c r="K116" s="17">
        <f>Table17[[#This Row],[Units Sold]]*Table17[[#This Row],[Unit Price]]</f>
        <v>50510.43</v>
      </c>
    </row>
    <row r="117" spans="1:11" ht="15" thickBot="1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  <c r="K117" s="17">
        <f>Table17[[#This Row],[Units Sold]]*Table17[[#This Row],[Unit Price]]</f>
        <v>14193.76</v>
      </c>
    </row>
    <row r="118" spans="1:11" ht="15" thickBot="1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  <c r="K118" s="17">
        <f>Table17[[#This Row],[Units Sold]]*Table17[[#This Row],[Unit Price]]</f>
        <v>26709.4</v>
      </c>
    </row>
    <row r="119" spans="1:11" ht="15" thickBot="1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  <c r="K119" s="17">
        <f>Table17[[#This Row],[Units Sold]]*Table17[[#This Row],[Unit Price]]</f>
        <v>28127.66</v>
      </c>
    </row>
    <row r="120" spans="1:11" ht="15" thickBot="1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  <c r="K120" s="17">
        <f>Table17[[#This Row],[Units Sold]]*Table17[[#This Row],[Unit Price]]</f>
        <v>21927.63</v>
      </c>
    </row>
    <row r="121" spans="1:11" ht="15" thickBot="1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  <c r="K121" s="17">
        <f>Table17[[#This Row],[Units Sold]]*Table17[[#This Row],[Unit Price]]</f>
        <v>23980.440000000002</v>
      </c>
    </row>
    <row r="122" spans="1:11" ht="15" thickBot="1">
      <c r="A122" s="3" t="s">
        <v>146</v>
      </c>
      <c r="B122" s="3"/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  <c r="K122" s="17">
        <f>Table17[[#This Row],[Units Sold]]*Table17[[#This Row],[Unit Price]]</f>
        <v>18413.920000000002</v>
      </c>
    </row>
    <row r="123" spans="1:11" ht="15" thickBot="1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  <c r="K123" s="17">
        <f>Table17[[#This Row],[Units Sold]]*Table17[[#This Row],[Unit Price]]</f>
        <v>123946.61000000002</v>
      </c>
    </row>
    <row r="124" spans="1:11" ht="15" thickBot="1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  <c r="K124" s="17">
        <f>Table17[[#This Row],[Units Sold]]*Table17[[#This Row],[Unit Price]]</f>
        <v>23850.54</v>
      </c>
    </row>
    <row r="125" spans="1:11" ht="15" thickBot="1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  <c r="K125" s="17">
        <f>Table17[[#This Row],[Units Sold]]*Table17[[#This Row],[Unit Price]]</f>
        <v>69384.800000000003</v>
      </c>
    </row>
    <row r="126" spans="1:11" ht="15" thickBot="1">
      <c r="A126" s="3" t="s">
        <v>150</v>
      </c>
      <c r="B126" s="3"/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  <c r="K126" s="17">
        <f>Table17[[#This Row],[Units Sold]]*Table17[[#This Row],[Unit Price]]</f>
        <v>56029.05</v>
      </c>
    </row>
    <row r="127" spans="1:11" ht="15" thickBot="1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  <c r="K127" s="17">
        <f>Table17[[#This Row],[Units Sold]]*Table17[[#This Row],[Unit Price]]</f>
        <v>15849.300000000001</v>
      </c>
    </row>
    <row r="128" spans="1:11" ht="15" thickBot="1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  <c r="K128" s="17">
        <f>Table17[[#This Row],[Units Sold]]*Table17[[#This Row],[Unit Price]]</f>
        <v>6609.5999999999995</v>
      </c>
    </row>
    <row r="129" spans="1:11" ht="15" thickBot="1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  <c r="K129" s="17">
        <f>Table17[[#This Row],[Units Sold]]*Table17[[#This Row],[Unit Price]]</f>
        <v>47340.649999999994</v>
      </c>
    </row>
    <row r="130" spans="1:11" ht="15" thickBot="1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  <c r="K130" s="17">
        <f>Table17[[#This Row],[Units Sold]]*Table17[[#This Row],[Unit Price]]</f>
        <v>99769.4</v>
      </c>
    </row>
    <row r="131" spans="1:11" ht="15" thickBot="1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  <c r="K131" s="17">
        <f>Table17[[#This Row],[Units Sold]]*Table17[[#This Row],[Unit Price]]</f>
        <v>120662.08000000002</v>
      </c>
    </row>
    <row r="132" spans="1:11" ht="15" thickBot="1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  <c r="K132" s="17">
        <f>Table17[[#This Row],[Units Sold]]*Table17[[#This Row],[Unit Price]]</f>
        <v>47233.24</v>
      </c>
    </row>
    <row r="133" spans="1:11" ht="15" thickBot="1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  <c r="K133" s="17">
        <f>Table17[[#This Row],[Units Sold]]*Table17[[#This Row],[Unit Price]]</f>
        <v>129787.18</v>
      </c>
    </row>
    <row r="134" spans="1:11" ht="15" thickBot="1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  <c r="K134" s="17">
        <f>Table17[[#This Row],[Units Sold]]*Table17[[#This Row],[Unit Price]]</f>
        <v>43827.11</v>
      </c>
    </row>
    <row r="135" spans="1:11" ht="15" thickBot="1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3"/>
      <c r="I135" s="3">
        <v>268.45999999999998</v>
      </c>
      <c r="J135" s="3">
        <v>199.19</v>
      </c>
      <c r="K135" s="17">
        <f>Table17[[#This Row],[Units Sold]]*Table17[[#This Row],[Unit Price]]</f>
        <v>0</v>
      </c>
    </row>
    <row r="136" spans="1:11" ht="15" thickBot="1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  <c r="K136" s="17">
        <f>Table17[[#This Row],[Units Sold]]*Table17[[#This Row],[Unit Price]]</f>
        <v>15330.72</v>
      </c>
    </row>
    <row r="137" spans="1:11" ht="15" thickBot="1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  <c r="K137" s="17">
        <f>Table17[[#This Row],[Units Sold]]*Table17[[#This Row],[Unit Price]]</f>
        <v>14208.689999999999</v>
      </c>
    </row>
    <row r="138" spans="1:11" ht="15" thickBot="1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  <c r="K138" s="17">
        <f>Table17[[#This Row],[Units Sold]]*Table17[[#This Row],[Unit Price]]</f>
        <v>1977.3</v>
      </c>
    </row>
    <row r="139" spans="1:11" ht="15" thickBot="1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  <c r="K139" s="17">
        <f>Table17[[#This Row],[Units Sold]]*Table17[[#This Row],[Unit Price]]</f>
        <v>9874.41</v>
      </c>
    </row>
    <row r="140" spans="1:11" ht="15" thickBot="1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  <c r="K140" s="17">
        <f>Table17[[#This Row],[Units Sold]]*Table17[[#This Row],[Unit Price]]</f>
        <v>152628.69999999998</v>
      </c>
    </row>
    <row r="141" spans="1:11" ht="15" thickBot="1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  <c r="K141" s="17">
        <f>Table17[[#This Row],[Units Sold]]*Table17[[#This Row],[Unit Price]]</f>
        <v>35005.799999999996</v>
      </c>
    </row>
    <row r="142" spans="1:11" ht="15" thickBot="1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  <c r="K142" s="17">
        <f>Table17[[#This Row],[Units Sold]]*Table17[[#This Row],[Unit Price]]</f>
        <v>39586.69</v>
      </c>
    </row>
    <row r="143" spans="1:11" ht="15" thickBot="1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  <c r="K143" s="17">
        <f>Table17[[#This Row],[Units Sold]]*Table17[[#This Row],[Unit Price]]</f>
        <v>140469.07999999999</v>
      </c>
    </row>
    <row r="144" spans="1:11" ht="15" thickBot="1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  <c r="K144" s="17">
        <f>Table17[[#This Row],[Units Sold]]*Table17[[#This Row],[Unit Price]]</f>
        <v>16624.599999999999</v>
      </c>
    </row>
    <row r="145" spans="1:11" ht="15" thickBot="1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  <c r="K145" s="17">
        <f>Table17[[#This Row],[Units Sold]]*Table17[[#This Row],[Unit Price]]</f>
        <v>3754.41</v>
      </c>
    </row>
    <row r="146" spans="1:11" ht="15" thickBot="1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  <c r="K146" s="17">
        <f>Table17[[#This Row],[Units Sold]]*Table17[[#This Row],[Unit Price]]</f>
        <v>232738.38</v>
      </c>
    </row>
    <row r="147" spans="1:11" ht="15" thickBot="1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  <c r="K147" s="17">
        <f>Table17[[#This Row],[Units Sold]]*Table17[[#This Row],[Unit Price]]</f>
        <v>16948.02</v>
      </c>
    </row>
    <row r="148" spans="1:11" ht="15" thickBot="1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  <c r="K148" s="17">
        <f>Table17[[#This Row],[Units Sold]]*Table17[[#This Row],[Unit Price]]</f>
        <v>72819.69</v>
      </c>
    </row>
    <row r="149" spans="1:11" ht="15" thickBot="1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  <c r="K149" s="17">
        <f>Table17[[#This Row],[Units Sold]]*Table17[[#This Row],[Unit Price]]</f>
        <v>154167.30000000002</v>
      </c>
    </row>
    <row r="150" spans="1:11" ht="15" thickBot="1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  <c r="K150" s="17">
        <f>Table17[[#This Row],[Units Sold]]*Table17[[#This Row],[Unit Price]]</f>
        <v>53088.12</v>
      </c>
    </row>
    <row r="151" spans="1:11" ht="15" thickBot="1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  <c r="K151" s="17">
        <f>Table17[[#This Row],[Units Sold]]*Table17[[#This Row],[Unit Price]]</f>
        <v>2747.67</v>
      </c>
    </row>
    <row r="152" spans="1:11" ht="15" thickBot="1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  <c r="K152" s="17">
        <f>Table17[[#This Row],[Units Sold]]*Table17[[#This Row],[Unit Price]]</f>
        <v>23156.399999999998</v>
      </c>
    </row>
    <row r="153" spans="1:11" ht="15" thickBot="1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  <c r="K153" s="17">
        <f>Table17[[#This Row],[Units Sold]]*Table17[[#This Row],[Unit Price]]</f>
        <v>122386.31999999999</v>
      </c>
    </row>
    <row r="154" spans="1:11" ht="15" thickBot="1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  <c r="K154" s="17">
        <f>Table17[[#This Row],[Units Sold]]*Table17[[#This Row],[Unit Price]]</f>
        <v>92224.74</v>
      </c>
    </row>
    <row r="155" spans="1:11" ht="15" thickBot="1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  <c r="K155" s="17">
        <f>Table17[[#This Row],[Units Sold]]*Table17[[#This Row],[Unit Price]]</f>
        <v>66677.66</v>
      </c>
    </row>
    <row r="156" spans="1:11" ht="15" thickBot="1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  <c r="K156" s="17">
        <f>Table17[[#This Row],[Units Sold]]*Table17[[#This Row],[Unit Price]]</f>
        <v>15857.4</v>
      </c>
    </row>
    <row r="157" spans="1:11" ht="15" thickBot="1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  <c r="K157" s="17">
        <f>Table17[[#This Row],[Units Sold]]*Table17[[#This Row],[Unit Price]]</f>
        <v>94112.079999999987</v>
      </c>
    </row>
    <row r="158" spans="1:11" ht="15" thickBot="1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  <c r="K158" s="17">
        <f>Table17[[#This Row],[Units Sold]]*Table17[[#This Row],[Unit Price]]</f>
        <v>204588.75</v>
      </c>
    </row>
    <row r="159" spans="1:11" ht="15" thickBot="1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  <c r="K159" s="17">
        <f>Table17[[#This Row],[Units Sold]]*Table17[[#This Row],[Unit Price]]</f>
        <v>117897</v>
      </c>
    </row>
    <row r="160" spans="1:11" ht="15" thickBot="1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  <c r="K160" s="17">
        <f>Table17[[#This Row],[Units Sold]]*Table17[[#This Row],[Unit Price]]</f>
        <v>220772.37</v>
      </c>
    </row>
    <row r="161" spans="1:11" ht="15" thickBot="1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3"/>
      <c r="J161" s="3">
        <v>220.75</v>
      </c>
      <c r="K161" s="17">
        <f>Table17[[#This Row],[Units Sold]]*Table17[[#This Row],[Unit Price]]</f>
        <v>0</v>
      </c>
    </row>
    <row r="162" spans="1:11" ht="15" thickBot="1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  <c r="K162" s="17">
        <f>Table17[[#This Row],[Units Sold]]*Table17[[#This Row],[Unit Price]]</f>
        <v>12735.699999999999</v>
      </c>
    </row>
    <row r="163" spans="1:11" ht="15" thickBot="1">
      <c r="A163" s="3" t="s">
        <v>187</v>
      </c>
      <c r="B163" s="3" t="s">
        <v>22</v>
      </c>
      <c r="C163" s="3" t="s">
        <v>31</v>
      </c>
      <c r="D163" s="3"/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  <c r="K163" s="17">
        <f>Table17[[#This Row],[Units Sold]]*Table17[[#This Row],[Unit Price]]</f>
        <v>117446.84</v>
      </c>
    </row>
    <row r="164" spans="1:11" ht="15" thickBot="1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  <c r="K164" s="17">
        <f>Table17[[#This Row],[Units Sold]]*Table17[[#This Row],[Unit Price]]</f>
        <v>7456.6799999999994</v>
      </c>
    </row>
    <row r="165" spans="1:11" ht="15" thickBot="1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  <c r="K165" s="17">
        <f>Table17[[#This Row],[Units Sold]]*Table17[[#This Row],[Unit Price]]</f>
        <v>11990.55</v>
      </c>
    </row>
    <row r="166" spans="1:11" ht="15" thickBot="1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  <c r="K166" s="17">
        <f>Table17[[#This Row],[Units Sold]]*Table17[[#This Row],[Unit Price]]</f>
        <v>114473.2</v>
      </c>
    </row>
    <row r="167" spans="1:11" ht="15" thickBot="1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  <c r="K167" s="17">
        <f>Table17[[#This Row],[Units Sold]]*Table17[[#This Row],[Unit Price]]</f>
        <v>14297.36</v>
      </c>
    </row>
    <row r="168" spans="1:11" ht="15" thickBot="1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  <c r="K168" s="17">
        <f>Table17[[#This Row],[Units Sold]]*Table17[[#This Row],[Unit Price]]</f>
        <v>184403.25</v>
      </c>
    </row>
    <row r="169" spans="1:11" ht="15" thickBot="1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  <c r="K169" s="17">
        <f>Table17[[#This Row],[Units Sold]]*Table17[[#This Row],[Unit Price]]</f>
        <v>220534.8</v>
      </c>
    </row>
    <row r="170" spans="1:11" ht="15" thickBot="1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  <c r="K170" s="17">
        <f>Table17[[#This Row],[Units Sold]]*Table17[[#This Row],[Unit Price]]</f>
        <v>176646.6</v>
      </c>
    </row>
    <row r="171" spans="1:11" ht="15" thickBot="1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  <c r="K171" s="17">
        <f>Table17[[#This Row],[Units Sold]]*Table17[[#This Row],[Unit Price]]</f>
        <v>3335.93</v>
      </c>
    </row>
    <row r="172" spans="1:11" ht="15" thickBot="1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  <c r="K172" s="17">
        <f>Table17[[#This Row],[Units Sold]]*Table17[[#This Row],[Unit Price]]</f>
        <v>70992</v>
      </c>
    </row>
    <row r="173" spans="1:11" ht="15" thickBot="1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  <c r="K173" s="17">
        <f>Table17[[#This Row],[Units Sold]]*Table17[[#This Row],[Unit Price]]</f>
        <v>2065.35</v>
      </c>
    </row>
    <row r="174" spans="1:11" ht="15" thickBot="1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  <c r="K174" s="17">
        <f>Table17[[#This Row],[Units Sold]]*Table17[[#This Row],[Unit Price]]</f>
        <v>160557</v>
      </c>
    </row>
    <row r="175" spans="1:11" ht="15" thickBot="1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  <c r="K175" s="17">
        <f>Table17[[#This Row],[Units Sold]]*Table17[[#This Row],[Unit Price]]</f>
        <v>168475.03</v>
      </c>
    </row>
    <row r="176" spans="1:11" ht="15" thickBot="1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  <c r="K176" s="17">
        <f>Table17[[#This Row],[Units Sold]]*Table17[[#This Row],[Unit Price]]</f>
        <v>108854.34999999999</v>
      </c>
    </row>
    <row r="177" spans="1:11" ht="15" thickBot="1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  <c r="K177" s="17">
        <f>Table17[[#This Row],[Units Sold]]*Table17[[#This Row],[Unit Price]]</f>
        <v>65238.6</v>
      </c>
    </row>
    <row r="178" spans="1:11" ht="15" thickBot="1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  <c r="K178" s="17">
        <f>Table17[[#This Row],[Units Sold]]*Table17[[#This Row],[Unit Price]]</f>
        <v>5865.34</v>
      </c>
    </row>
    <row r="179" spans="1:11" ht="15" thickBot="1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  <c r="K179" s="17">
        <f>Table17[[#This Row],[Units Sold]]*Table17[[#This Row],[Unit Price]]</f>
        <v>208351.44</v>
      </c>
    </row>
    <row r="180" spans="1:11" ht="15" thickBot="1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  <c r="K180" s="17">
        <f>Table17[[#This Row],[Units Sold]]*Table17[[#This Row],[Unit Price]]</f>
        <v>17497.079999999998</v>
      </c>
    </row>
    <row r="181" spans="1:11" ht="15" thickBot="1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  <c r="K181" s="17">
        <f>Table17[[#This Row],[Units Sold]]*Table17[[#This Row],[Unit Price]]</f>
        <v>176654.66</v>
      </c>
    </row>
    <row r="182" spans="1:11" ht="15" thickBot="1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  <c r="K182" s="17">
        <f>Table17[[#This Row],[Units Sold]]*Table17[[#This Row],[Unit Price]]</f>
        <v>95098.08</v>
      </c>
    </row>
    <row r="183" spans="1:11" ht="15" thickBot="1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  <c r="K183" s="17">
        <f>Table17[[#This Row],[Units Sold]]*Table17[[#This Row],[Unit Price]]</f>
        <v>7293.5999999999995</v>
      </c>
    </row>
    <row r="184" spans="1:11" ht="15" thickBot="1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  <c r="K184" s="17">
        <f>Table17[[#This Row],[Units Sold]]*Table17[[#This Row],[Unit Price]]</f>
        <v>91361.200000000012</v>
      </c>
    </row>
    <row r="185" spans="1:11" ht="15" thickBot="1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  <c r="K185" s="17">
        <f>Table17[[#This Row],[Units Sold]]*Table17[[#This Row],[Unit Price]]</f>
        <v>64339.200000000004</v>
      </c>
    </row>
    <row r="186" spans="1:11" ht="15" thickBot="1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  <c r="K186" s="17">
        <f>Table17[[#This Row],[Units Sold]]*Table17[[#This Row],[Unit Price]]</f>
        <v>93183.3</v>
      </c>
    </row>
    <row r="187" spans="1:11" ht="15" thickBot="1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  <c r="K187" s="17">
        <f>Table17[[#This Row],[Units Sold]]*Table17[[#This Row],[Unit Price]]</f>
        <v>50940.42</v>
      </c>
    </row>
    <row r="188" spans="1:11" ht="15" thickBot="1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  <c r="K188" s="17">
        <f>Table17[[#This Row],[Units Sold]]*Table17[[#This Row],[Unit Price]]</f>
        <v>23847.599999999999</v>
      </c>
    </row>
    <row r="189" spans="1:11" ht="15" thickBot="1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  <c r="K189" s="17">
        <f>Table17[[#This Row],[Units Sold]]*Table17[[#This Row],[Unit Price]]</f>
        <v>73651.11</v>
      </c>
    </row>
    <row r="190" spans="1:11" ht="15" thickBot="1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  <c r="K190" s="17">
        <f>Table17[[#This Row],[Units Sold]]*Table17[[#This Row],[Unit Price]]</f>
        <v>82123.47</v>
      </c>
    </row>
    <row r="191" spans="1:11" ht="15" thickBot="1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  <c r="K191" s="17">
        <f>Table17[[#This Row],[Units Sold]]*Table17[[#This Row],[Unit Price]]</f>
        <v>41736.14</v>
      </c>
    </row>
    <row r="192" spans="1:11" ht="15" thickBot="1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  <c r="K192" s="17">
        <f>Table17[[#This Row],[Units Sold]]*Table17[[#This Row],[Unit Price]]</f>
        <v>50622.080000000002</v>
      </c>
    </row>
    <row r="193" spans="1:11" ht="15" thickBot="1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  <c r="K193" s="17">
        <f>Table17[[#This Row],[Units Sold]]*Table17[[#This Row],[Unit Price]]</f>
        <v>105970.29000000001</v>
      </c>
    </row>
    <row r="194" spans="1:11" ht="15" thickBot="1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  <c r="K194" s="17">
        <f>Table17[[#This Row],[Units Sold]]*Table17[[#This Row],[Unit Price]]</f>
        <v>1140.18</v>
      </c>
    </row>
    <row r="195" spans="1:11" ht="15" thickBot="1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  <c r="K195" s="17">
        <f>Table17[[#This Row],[Units Sold]]*Table17[[#This Row],[Unit Price]]</f>
        <v>9163.6</v>
      </c>
    </row>
    <row r="196" spans="1:11" ht="15" thickBot="1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  <c r="K196" s="17">
        <f>Table17[[#This Row],[Units Sold]]*Table17[[#This Row],[Unit Price]]</f>
        <v>41361.839999999997</v>
      </c>
    </row>
    <row r="197" spans="1:11" ht="15" thickBot="1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  <c r="K197" s="17">
        <f>Table17[[#This Row],[Units Sold]]*Table17[[#This Row],[Unit Price]]</f>
        <v>11630.88</v>
      </c>
    </row>
    <row r="198" spans="1:11" ht="15" thickBot="1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  <c r="K198" s="17">
        <f>Table17[[#This Row],[Units Sold]]*Table17[[#This Row],[Unit Price]]</f>
        <v>77699.520000000004</v>
      </c>
    </row>
    <row r="199" spans="1:11" ht="15" thickBot="1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  <c r="K199" s="17">
        <f>Table17[[#This Row],[Units Sold]]*Table17[[#This Row],[Unit Price]]</f>
        <v>87441.12</v>
      </c>
    </row>
    <row r="200" spans="1:11" ht="15" thickBot="1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  <c r="K200" s="17">
        <f>Table17[[#This Row],[Units Sold]]*Table17[[#This Row],[Unit Price]]</f>
        <v>106926.77</v>
      </c>
    </row>
    <row r="201" spans="1:11" ht="15" thickBot="1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  <c r="K201" s="17">
        <f>Table17[[#This Row],[Units Sold]]*Table17[[#This Row],[Unit Price]]</f>
        <v>116615.1</v>
      </c>
    </row>
    <row r="202" spans="1:11" ht="15" thickBot="1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  <c r="K202" s="17">
        <f>Table17[[#This Row],[Units Sold]]*Table17[[#This Row],[Unit Price]]</f>
        <v>190533.15000000002</v>
      </c>
    </row>
    <row r="203" spans="1:11" ht="15" thickBot="1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  <c r="K203" s="17">
        <f>Table17[[#This Row],[Units Sold]]*Table17[[#This Row],[Unit Price]]</f>
        <v>46212.55</v>
      </c>
    </row>
    <row r="204" spans="1:11" ht="15" thickBot="1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3"/>
      <c r="I204" s="3">
        <v>407.81</v>
      </c>
      <c r="J204" s="3">
        <v>351.95</v>
      </c>
      <c r="K204" s="17">
        <f>Table17[[#This Row],[Units Sold]]*Table17[[#This Row],[Unit Price]]</f>
        <v>0</v>
      </c>
    </row>
    <row r="205" spans="1:11" ht="15" thickBot="1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  <c r="K205" s="17">
        <f>Table17[[#This Row],[Units Sold]]*Table17[[#This Row],[Unit Price]]</f>
        <v>1767.3</v>
      </c>
    </row>
    <row r="206" spans="1:11" ht="15" thickBot="1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  <c r="K206" s="17">
        <f>Table17[[#This Row],[Units Sold]]*Table17[[#This Row],[Unit Price]]</f>
        <v>24570</v>
      </c>
    </row>
    <row r="207" spans="1:11" ht="15" thickBot="1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  <c r="K207" s="17">
        <f>Table17[[#This Row],[Units Sold]]*Table17[[#This Row],[Unit Price]]</f>
        <v>125666.64</v>
      </c>
    </row>
    <row r="208" spans="1:11" ht="15" thickBot="1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  <c r="K208" s="17">
        <f>Table17[[#This Row],[Units Sold]]*Table17[[#This Row],[Unit Price]]</f>
        <v>46408.799999999996</v>
      </c>
    </row>
    <row r="209" spans="1:11" ht="15" thickBot="1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  <c r="K209" s="17">
        <f>Table17[[#This Row],[Units Sold]]*Table17[[#This Row],[Unit Price]]</f>
        <v>108913.92</v>
      </c>
    </row>
    <row r="210" spans="1:11" ht="15" thickBot="1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  <c r="K210" s="17">
        <f>Table17[[#This Row],[Units Sold]]*Table17[[#This Row],[Unit Price]]</f>
        <v>18619.530000000002</v>
      </c>
    </row>
    <row r="211" spans="1:11" ht="15" thickBot="1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  <c r="K211" s="17">
        <f>Table17[[#This Row],[Units Sold]]*Table17[[#This Row],[Unit Price]]</f>
        <v>75056.159999999989</v>
      </c>
    </row>
    <row r="212" spans="1:11" ht="15" thickBot="1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  <c r="K212" s="17">
        <f>Table17[[#This Row],[Units Sold]]*Table17[[#This Row],[Unit Price]]</f>
        <v>58453.2</v>
      </c>
    </row>
    <row r="213" spans="1:11" ht="15" thickBot="1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  <c r="K213" s="17">
        <f>Table17[[#This Row],[Units Sold]]*Table17[[#This Row],[Unit Price]]</f>
        <v>161626.5</v>
      </c>
    </row>
    <row r="214" spans="1:11" ht="15" thickBot="1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  <c r="K214" s="17">
        <f>Table17[[#This Row],[Units Sold]]*Table17[[#This Row],[Unit Price]]</f>
        <v>121510.62</v>
      </c>
    </row>
    <row r="215" spans="1:11" ht="15" thickBot="1">
      <c r="A215" s="3" t="s">
        <v>239</v>
      </c>
      <c r="B215" s="3" t="s">
        <v>11</v>
      </c>
      <c r="C215" s="3" t="s">
        <v>50</v>
      </c>
      <c r="D215" s="3"/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  <c r="K215" s="17">
        <f>Table17[[#This Row],[Units Sold]]*Table17[[#This Row],[Unit Price]]</f>
        <v>163183.67999999999</v>
      </c>
    </row>
    <row r="216" spans="1:11" ht="15" thickBot="1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  <c r="K216" s="17">
        <f>Table17[[#This Row],[Units Sold]]*Table17[[#This Row],[Unit Price]]</f>
        <v>58062.48</v>
      </c>
    </row>
    <row r="217" spans="1:11" ht="15" thickBot="1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  <c r="K217" s="17">
        <f>Table17[[#This Row],[Units Sold]]*Table17[[#This Row],[Unit Price]]</f>
        <v>30074.29</v>
      </c>
    </row>
    <row r="218" spans="1:11" ht="15" thickBot="1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  <c r="K218" s="17">
        <f>Table17[[#This Row],[Units Sold]]*Table17[[#This Row],[Unit Price]]</f>
        <v>15668.92</v>
      </c>
    </row>
    <row r="219" spans="1:11" ht="15" thickBot="1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  <c r="K219" s="17">
        <f>Table17[[#This Row],[Units Sold]]*Table17[[#This Row],[Unit Price]]</f>
        <v>205828.36000000002</v>
      </c>
    </row>
    <row r="220" spans="1:11" ht="15" thickBot="1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  <c r="K220" s="17">
        <f>Table17[[#This Row],[Units Sold]]*Table17[[#This Row],[Unit Price]]</f>
        <v>7897.68</v>
      </c>
    </row>
    <row r="221" spans="1:11" ht="15" thickBot="1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  <c r="K221" s="17">
        <f>Table17[[#This Row],[Units Sold]]*Table17[[#This Row],[Unit Price]]</f>
        <v>33026.939999999995</v>
      </c>
    </row>
    <row r="222" spans="1:11" ht="15" thickBot="1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  <c r="K222" s="17">
        <f>Table17[[#This Row],[Units Sold]]*Table17[[#This Row],[Unit Price]]</f>
        <v>46575.86</v>
      </c>
    </row>
    <row r="223" spans="1:11" ht="15" thickBot="1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  <c r="K223" s="17">
        <f>Table17[[#This Row],[Units Sold]]*Table17[[#This Row],[Unit Price]]</f>
        <v>41658.400000000001</v>
      </c>
    </row>
    <row r="224" spans="1:11" ht="15" thickBot="1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  <c r="K224" s="17">
        <f>Table17[[#This Row],[Units Sold]]*Table17[[#This Row],[Unit Price]]</f>
        <v>33330.99</v>
      </c>
    </row>
    <row r="225" spans="1:11" ht="15" thickBot="1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  <c r="K225" s="17">
        <f>Table17[[#This Row],[Units Sold]]*Table17[[#This Row],[Unit Price]]</f>
        <v>25325.7</v>
      </c>
    </row>
    <row r="226" spans="1:11" ht="15" thickBot="1">
      <c r="A226" s="3" t="s">
        <v>250</v>
      </c>
      <c r="B226" s="3"/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  <c r="K226" s="17">
        <f>Table17[[#This Row],[Units Sold]]*Table17[[#This Row],[Unit Price]]</f>
        <v>89760.51</v>
      </c>
    </row>
    <row r="227" spans="1:11" ht="15" thickBot="1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  <c r="K227" s="17">
        <f>Table17[[#This Row],[Units Sold]]*Table17[[#This Row],[Unit Price]]</f>
        <v>5542.53</v>
      </c>
    </row>
    <row r="228" spans="1:11" ht="15" thickBot="1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  <c r="K228" s="17">
        <f>Table17[[#This Row],[Units Sold]]*Table17[[#This Row],[Unit Price]]</f>
        <v>95286.099999999991</v>
      </c>
    </row>
    <row r="229" spans="1:11" ht="15" thickBot="1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  <c r="K229" s="17">
        <f>Table17[[#This Row],[Units Sold]]*Table17[[#This Row],[Unit Price]]</f>
        <v>130242</v>
      </c>
    </row>
    <row r="230" spans="1:11" ht="15" thickBot="1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  <c r="K230" s="17">
        <f>Table17[[#This Row],[Units Sold]]*Table17[[#This Row],[Unit Price]]</f>
        <v>58257.990000000005</v>
      </c>
    </row>
    <row r="231" spans="1:11" ht="15" thickBot="1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  <c r="K231" s="17">
        <f>Table17[[#This Row],[Units Sold]]*Table17[[#This Row],[Unit Price]]</f>
        <v>10532.16</v>
      </c>
    </row>
    <row r="232" spans="1:11" ht="15" thickBot="1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3"/>
      <c r="I232" s="3">
        <v>49.37</v>
      </c>
      <c r="J232" s="3">
        <v>39.32</v>
      </c>
      <c r="K232" s="17">
        <f>Table17[[#This Row],[Units Sold]]*Table17[[#This Row],[Unit Price]]</f>
        <v>0</v>
      </c>
    </row>
    <row r="233" spans="1:11" ht="15" thickBot="1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  <c r="K233" s="17">
        <f>Table17[[#This Row],[Units Sold]]*Table17[[#This Row],[Unit Price]]</f>
        <v>24855.870000000003</v>
      </c>
    </row>
    <row r="234" spans="1:11" ht="15" thickBot="1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  <c r="K234" s="17">
        <f>Table17[[#This Row],[Units Sold]]*Table17[[#This Row],[Unit Price]]</f>
        <v>89095.049999999988</v>
      </c>
    </row>
    <row r="235" spans="1:11" ht="15" thickBot="1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  <c r="K235" s="17">
        <f>Table17[[#This Row],[Units Sold]]*Table17[[#This Row],[Unit Price]]</f>
        <v>235447.36000000002</v>
      </c>
    </row>
    <row r="236" spans="1:11" ht="15" thickBot="1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  <c r="K236" s="17">
        <f>Table17[[#This Row],[Units Sold]]*Table17[[#This Row],[Unit Price]]</f>
        <v>63520.380000000005</v>
      </c>
    </row>
    <row r="237" spans="1:11" ht="15" thickBot="1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  <c r="K237" s="17">
        <f>Table17[[#This Row],[Units Sold]]*Table17[[#This Row],[Unit Price]]</f>
        <v>26890.26</v>
      </c>
    </row>
    <row r="238" spans="1:11" ht="15" thickBot="1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  <c r="K238" s="17">
        <f>Table17[[#This Row],[Units Sold]]*Table17[[#This Row],[Unit Price]]</f>
        <v>20988</v>
      </c>
    </row>
    <row r="239" spans="1:11" ht="15" thickBot="1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  <c r="K239" s="17">
        <f>Table17[[#This Row],[Units Sold]]*Table17[[#This Row],[Unit Price]]</f>
        <v>7316.97</v>
      </c>
    </row>
    <row r="240" spans="1:11" ht="15" thickBot="1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  <c r="K240" s="17">
        <f>Table17[[#This Row],[Units Sold]]*Table17[[#This Row],[Unit Price]]</f>
        <v>35278.32</v>
      </c>
    </row>
    <row r="241" spans="1:11" ht="15" thickBot="1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  <c r="K241" s="17">
        <f>Table17[[#This Row],[Units Sold]]*Table17[[#This Row],[Unit Price]]</f>
        <v>3469.32</v>
      </c>
    </row>
    <row r="242" spans="1:11" ht="15" thickBot="1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  <c r="K242" s="17">
        <f>Table17[[#This Row],[Units Sold]]*Table17[[#This Row],[Unit Price]]</f>
        <v>27662.28</v>
      </c>
    </row>
    <row r="243" spans="1:11" ht="15" thickBot="1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  <c r="K243" s="17">
        <f>Table17[[#This Row],[Units Sold]]*Table17[[#This Row],[Unit Price]]</f>
        <v>23466.66</v>
      </c>
    </row>
    <row r="244" spans="1:11" ht="15" thickBot="1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  <c r="K244" s="17">
        <f>Table17[[#This Row],[Units Sold]]*Table17[[#This Row],[Unit Price]]</f>
        <v>20111.52</v>
      </c>
    </row>
    <row r="245" spans="1:11" ht="15" thickBot="1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  <c r="K245" s="17">
        <f>Table17[[#This Row],[Units Sold]]*Table17[[#This Row],[Unit Price]]</f>
        <v>181878.84</v>
      </c>
    </row>
    <row r="246" spans="1:11" ht="15" thickBot="1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  <c r="K246" s="17">
        <f>Table17[[#This Row],[Units Sold]]*Table17[[#This Row],[Unit Price]]</f>
        <v>77020.12</v>
      </c>
    </row>
    <row r="247" spans="1:11" ht="15" thickBot="1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  <c r="K247" s="17">
        <f>Table17[[#This Row],[Units Sold]]*Table17[[#This Row],[Unit Price]]</f>
        <v>21972.559999999998</v>
      </c>
    </row>
    <row r="248" spans="1:11" ht="15" thickBot="1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  <c r="K248" s="17">
        <f>Table17[[#This Row],[Units Sold]]*Table17[[#This Row],[Unit Price]]</f>
        <v>178645.6</v>
      </c>
    </row>
    <row r="249" spans="1:11" ht="15" thickBot="1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  <c r="K249" s="17">
        <f>Table17[[#This Row],[Units Sold]]*Table17[[#This Row],[Unit Price]]</f>
        <v>36079.1</v>
      </c>
    </row>
    <row r="250" spans="1:11" ht="15" thickBot="1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  <c r="K250" s="17">
        <f>Table17[[#This Row],[Units Sold]]*Table17[[#This Row],[Unit Price]]</f>
        <v>8765.4600000000009</v>
      </c>
    </row>
    <row r="251" spans="1:11" ht="15" thickBot="1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  <c r="K251" s="17">
        <f>Table17[[#This Row],[Units Sold]]*Table17[[#This Row],[Unit Price]]</f>
        <v>19691.75</v>
      </c>
    </row>
    <row r="252" spans="1:11" ht="15" thickBot="1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  <c r="K252" s="17">
        <f>Table17[[#This Row],[Units Sold]]*Table17[[#This Row],[Unit Price]]</f>
        <v>2430.36</v>
      </c>
    </row>
    <row r="253" spans="1:11" ht="15" thickBot="1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  <c r="K253" s="17">
        <f>Table17[[#This Row],[Units Sold]]*Table17[[#This Row],[Unit Price]]</f>
        <v>127036.8</v>
      </c>
    </row>
    <row r="254" spans="1:11" ht="15" thickBot="1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  <c r="K254" s="17">
        <f>Table17[[#This Row],[Units Sold]]*Table17[[#This Row],[Unit Price]]</f>
        <v>107384.12999999999</v>
      </c>
    </row>
    <row r="255" spans="1:11" ht="15" thickBot="1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3"/>
      <c r="I255" s="3">
        <v>298.8</v>
      </c>
      <c r="J255" s="3">
        <v>333.41</v>
      </c>
      <c r="K255" s="17">
        <f>Table17[[#This Row],[Units Sold]]*Table17[[#This Row],[Unit Price]]</f>
        <v>0</v>
      </c>
    </row>
    <row r="256" spans="1:11" ht="15" thickBot="1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  <c r="K256" s="17">
        <f>Table17[[#This Row],[Units Sold]]*Table17[[#This Row],[Unit Price]]</f>
        <v>9549.5999999999985</v>
      </c>
    </row>
    <row r="257" spans="1:11" ht="15" thickBot="1">
      <c r="A257" s="3" t="s">
        <v>281</v>
      </c>
      <c r="B257" s="3" t="s">
        <v>17</v>
      </c>
      <c r="C257" s="3" t="s">
        <v>12</v>
      </c>
      <c r="D257" s="3"/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  <c r="K257" s="17">
        <f>Table17[[#This Row],[Units Sold]]*Table17[[#This Row],[Unit Price]]</f>
        <v>52661.34</v>
      </c>
    </row>
    <row r="258" spans="1:11" ht="15" thickBot="1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  <c r="K258" s="17">
        <f>Table17[[#This Row],[Units Sold]]*Table17[[#This Row],[Unit Price]]</f>
        <v>21138.81</v>
      </c>
    </row>
    <row r="259" spans="1:11" ht="15" thickBot="1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  <c r="K259" s="17">
        <f>Table17[[#This Row],[Units Sold]]*Table17[[#This Row],[Unit Price]]</f>
        <v>39469.700000000004</v>
      </c>
    </row>
    <row r="260" spans="1:11" ht="15" thickBot="1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  <c r="K260" s="17">
        <f>Table17[[#This Row],[Units Sold]]*Table17[[#This Row],[Unit Price]]</f>
        <v>210386.88</v>
      </c>
    </row>
    <row r="261" spans="1:11" ht="15" thickBot="1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3"/>
      <c r="J261" s="3">
        <v>337.1</v>
      </c>
      <c r="K261" s="17">
        <f>Table17[[#This Row],[Units Sold]]*Table17[[#This Row],[Unit Price]]</f>
        <v>0</v>
      </c>
    </row>
    <row r="262" spans="1:11" ht="15" thickBot="1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  <c r="K262" s="17">
        <f>Table17[[#This Row],[Units Sold]]*Table17[[#This Row],[Unit Price]]</f>
        <v>109691.14000000001</v>
      </c>
    </row>
    <row r="263" spans="1:11" ht="15" thickBot="1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  <c r="K263" s="17">
        <f>Table17[[#This Row],[Units Sold]]*Table17[[#This Row],[Unit Price]]</f>
        <v>32227.3</v>
      </c>
    </row>
    <row r="264" spans="1:11" ht="15" thickBot="1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  <c r="K264" s="17">
        <f>Table17[[#This Row],[Units Sold]]*Table17[[#This Row],[Unit Price]]</f>
        <v>53927.48</v>
      </c>
    </row>
    <row r="265" spans="1:11" ht="15" thickBot="1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3"/>
      <c r="J265" s="3">
        <v>155.38</v>
      </c>
      <c r="K265" s="17">
        <f>Table17[[#This Row],[Units Sold]]*Table17[[#This Row],[Unit Price]]</f>
        <v>0</v>
      </c>
    </row>
    <row r="266" spans="1:11" ht="15" thickBot="1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  <c r="K266" s="17">
        <f>Table17[[#This Row],[Units Sold]]*Table17[[#This Row],[Unit Price]]</f>
        <v>7673.94</v>
      </c>
    </row>
    <row r="267" spans="1:11" ht="15" thickBot="1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  <c r="K267" s="17">
        <f>Table17[[#This Row],[Units Sold]]*Table17[[#This Row],[Unit Price]]</f>
        <v>59038</v>
      </c>
    </row>
    <row r="268" spans="1:11" ht="15" thickBot="1">
      <c r="A268" s="3" t="s">
        <v>292</v>
      </c>
      <c r="B268" s="3" t="s">
        <v>22</v>
      </c>
      <c r="C268" s="3" t="s">
        <v>18</v>
      </c>
      <c r="D268" s="3"/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  <c r="K268" s="17">
        <f>Table17[[#This Row],[Units Sold]]*Table17[[#This Row],[Unit Price]]</f>
        <v>178922.52000000002</v>
      </c>
    </row>
    <row r="269" spans="1:11" ht="15" thickBot="1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  <c r="K269" s="17">
        <f>Table17[[#This Row],[Units Sold]]*Table17[[#This Row],[Unit Price]]</f>
        <v>174173.97</v>
      </c>
    </row>
    <row r="270" spans="1:11" ht="15" thickBot="1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  <c r="K270" s="17">
        <f>Table17[[#This Row],[Units Sold]]*Table17[[#This Row],[Unit Price]]</f>
        <v>25944.799999999999</v>
      </c>
    </row>
    <row r="271" spans="1:11" ht="15" thickBot="1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  <c r="K271" s="17">
        <f>Table17[[#This Row],[Units Sold]]*Table17[[#This Row],[Unit Price]]</f>
        <v>47911.549999999996</v>
      </c>
    </row>
    <row r="272" spans="1:11" ht="15" thickBot="1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  <c r="K272" s="17">
        <f>Table17[[#This Row],[Units Sold]]*Table17[[#This Row],[Unit Price]]</f>
        <v>10171.980000000001</v>
      </c>
    </row>
    <row r="273" spans="1:11" ht="15" thickBot="1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  <c r="K273" s="17">
        <f>Table17[[#This Row],[Units Sold]]*Table17[[#This Row],[Unit Price]]</f>
        <v>47968.799999999996</v>
      </c>
    </row>
    <row r="274" spans="1:11" ht="15" thickBot="1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  <c r="K274" s="17">
        <f>Table17[[#This Row],[Units Sold]]*Table17[[#This Row],[Unit Price]]</f>
        <v>153653.84</v>
      </c>
    </row>
    <row r="275" spans="1:11" ht="15" thickBot="1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  <c r="K275" s="17">
        <f>Table17[[#This Row],[Units Sold]]*Table17[[#This Row],[Unit Price]]</f>
        <v>19365.48</v>
      </c>
    </row>
    <row r="276" spans="1:11" ht="15" thickBot="1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  <c r="K276" s="17">
        <f>Table17[[#This Row],[Units Sold]]*Table17[[#This Row],[Unit Price]]</f>
        <v>109080</v>
      </c>
    </row>
    <row r="277" spans="1:11" ht="15" thickBot="1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  <c r="K277" s="17">
        <f>Table17[[#This Row],[Units Sold]]*Table17[[#This Row],[Unit Price]]</f>
        <v>6813.09</v>
      </c>
    </row>
    <row r="278" spans="1:11" ht="15" thickBot="1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  <c r="K278" s="17">
        <f>Table17[[#This Row],[Units Sold]]*Table17[[#This Row],[Unit Price]]</f>
        <v>34147.979999999996</v>
      </c>
    </row>
    <row r="279" spans="1:11" ht="15" thickBot="1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  <c r="K279" s="17">
        <f>Table17[[#This Row],[Units Sold]]*Table17[[#This Row],[Unit Price]]</f>
        <v>25935.46</v>
      </c>
    </row>
    <row r="280" spans="1:11" ht="15" thickBot="1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  <c r="K280" s="17">
        <f>Table17[[#This Row],[Units Sold]]*Table17[[#This Row],[Unit Price]]</f>
        <v>8671.86</v>
      </c>
    </row>
    <row r="281" spans="1:11" ht="15" thickBot="1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  <c r="K281" s="17">
        <f>Table17[[#This Row],[Units Sold]]*Table17[[#This Row],[Unit Price]]</f>
        <v>91745.94</v>
      </c>
    </row>
    <row r="282" spans="1:11" ht="15" thickBot="1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  <c r="K282" s="17">
        <f>Table17[[#This Row],[Units Sold]]*Table17[[#This Row],[Unit Price]]</f>
        <v>37401.279999999999</v>
      </c>
    </row>
    <row r="283" spans="1:11" ht="15" thickBot="1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  <c r="K283" s="17">
        <f>Table17[[#This Row],[Units Sold]]*Table17[[#This Row],[Unit Price]]</f>
        <v>154792.95000000001</v>
      </c>
    </row>
    <row r="284" spans="1:11" ht="15" thickBot="1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  <c r="K284" s="17">
        <f>Table17[[#This Row],[Units Sold]]*Table17[[#This Row],[Unit Price]]</f>
        <v>11166.259999999998</v>
      </c>
    </row>
    <row r="285" spans="1:11" ht="15" thickBot="1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  <c r="K285" s="17">
        <f>Table17[[#This Row],[Units Sold]]*Table17[[#This Row],[Unit Price]]</f>
        <v>26087.460000000003</v>
      </c>
    </row>
    <row r="286" spans="1:11" ht="15" thickBot="1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  <c r="K286" s="17">
        <f>Table17[[#This Row],[Units Sold]]*Table17[[#This Row],[Unit Price]]</f>
        <v>52837.5</v>
      </c>
    </row>
    <row r="287" spans="1:11" ht="15" thickBot="1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  <c r="K287" s="17">
        <f>Table17[[#This Row],[Units Sold]]*Table17[[#This Row],[Unit Price]]</f>
        <v>31256.160000000003</v>
      </c>
    </row>
    <row r="288" spans="1:11" ht="15" thickBot="1">
      <c r="A288" s="3" t="s">
        <v>312</v>
      </c>
      <c r="B288" s="3" t="s">
        <v>11</v>
      </c>
      <c r="C288" s="3" t="s">
        <v>12</v>
      </c>
      <c r="D288" s="3"/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  <c r="K288" s="17">
        <f>Table17[[#This Row],[Units Sold]]*Table17[[#This Row],[Unit Price]]</f>
        <v>59419.5</v>
      </c>
    </row>
    <row r="289" spans="1:11" ht="15" thickBot="1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  <c r="K289" s="17">
        <f>Table17[[#This Row],[Units Sold]]*Table17[[#This Row],[Unit Price]]</f>
        <v>9189.74</v>
      </c>
    </row>
    <row r="290" spans="1:11" ht="15" thickBot="1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  <c r="K290" s="17">
        <f>Table17[[#This Row],[Units Sold]]*Table17[[#This Row],[Unit Price]]</f>
        <v>4513.3999999999996</v>
      </c>
    </row>
    <row r="291" spans="1:11" ht="15" thickBot="1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  <c r="K291" s="17">
        <f>Table17[[#This Row],[Units Sold]]*Table17[[#This Row],[Unit Price]]</f>
        <v>112728.4</v>
      </c>
    </row>
    <row r="292" spans="1:11" ht="15" thickBot="1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3"/>
      <c r="J292" s="3">
        <v>278.77999999999997</v>
      </c>
      <c r="K292" s="17">
        <f>Table17[[#This Row],[Units Sold]]*Table17[[#This Row],[Unit Price]]</f>
        <v>0</v>
      </c>
    </row>
    <row r="293" spans="1:11" ht="15" thickBot="1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3"/>
      <c r="I293" s="3">
        <v>173.84</v>
      </c>
      <c r="J293" s="3">
        <v>298.88</v>
      </c>
      <c r="K293" s="17">
        <f>Table17[[#This Row],[Units Sold]]*Table17[[#This Row],[Unit Price]]</f>
        <v>0</v>
      </c>
    </row>
    <row r="294" spans="1:11" ht="15" thickBot="1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  <c r="K294" s="17">
        <f>Table17[[#This Row],[Units Sold]]*Table17[[#This Row],[Unit Price]]</f>
        <v>45538.86</v>
      </c>
    </row>
    <row r="295" spans="1:11" ht="15" thickBot="1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  <c r="K295" s="17">
        <f>Table17[[#This Row],[Units Sold]]*Table17[[#This Row],[Unit Price]]</f>
        <v>131758.06</v>
      </c>
    </row>
    <row r="296" spans="1:11" ht="15" thickBot="1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  <c r="K296" s="17">
        <f>Table17[[#This Row],[Units Sold]]*Table17[[#This Row],[Unit Price]]</f>
        <v>68943.930000000008</v>
      </c>
    </row>
    <row r="297" spans="1:11" ht="15" thickBot="1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  <c r="K297" s="17">
        <f>Table17[[#This Row],[Units Sold]]*Table17[[#This Row],[Unit Price]]</f>
        <v>125091.48000000001</v>
      </c>
    </row>
    <row r="298" spans="1:11" ht="15" thickBot="1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3"/>
      <c r="I298" s="3">
        <v>387.45</v>
      </c>
      <c r="J298" s="3">
        <v>150.63999999999999</v>
      </c>
      <c r="K298" s="17">
        <f>Table17[[#This Row],[Units Sold]]*Table17[[#This Row],[Unit Price]]</f>
        <v>0</v>
      </c>
    </row>
    <row r="299" spans="1:11" ht="15" thickBot="1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  <c r="K299" s="17">
        <f>Table17[[#This Row],[Units Sold]]*Table17[[#This Row],[Unit Price]]</f>
        <v>25590.560000000001</v>
      </c>
    </row>
    <row r="300" spans="1:11" ht="15" thickBot="1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  <c r="K300" s="17">
        <f>Table17[[#This Row],[Units Sold]]*Table17[[#This Row],[Unit Price]]</f>
        <v>31468.74</v>
      </c>
    </row>
    <row r="301" spans="1:11" ht="15" thickBot="1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  <c r="K301" s="17">
        <f>Table17[[#This Row],[Units Sold]]*Table17[[#This Row],[Unit Price]]</f>
        <v>14994.999999999998</v>
      </c>
    </row>
    <row r="302" spans="1:11" ht="15" thickBot="1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  <c r="K302" s="17">
        <f>Table17[[#This Row],[Units Sold]]*Table17[[#This Row],[Unit Price]]</f>
        <v>83471.899999999994</v>
      </c>
    </row>
    <row r="303" spans="1:11" ht="15" thickBot="1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  <c r="K303" s="17">
        <f>Table17[[#This Row],[Units Sold]]*Table17[[#This Row],[Unit Price]]</f>
        <v>15864.4</v>
      </c>
    </row>
    <row r="304" spans="1:11" ht="15" thickBot="1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  <c r="K304" s="17">
        <f>Table17[[#This Row],[Units Sold]]*Table17[[#This Row],[Unit Price]]</f>
        <v>67573.16</v>
      </c>
    </row>
    <row r="305" spans="1:11" ht="15" thickBot="1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  <c r="K305" s="17">
        <f>Table17[[#This Row],[Units Sold]]*Table17[[#This Row],[Unit Price]]</f>
        <v>17076.95</v>
      </c>
    </row>
    <row r="306" spans="1:11" ht="15" thickBot="1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  <c r="K306" s="17">
        <f>Table17[[#This Row],[Units Sold]]*Table17[[#This Row],[Unit Price]]</f>
        <v>37854.310000000005</v>
      </c>
    </row>
    <row r="307" spans="1:11" ht="15" thickBot="1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  <c r="K307" s="17">
        <f>Table17[[#This Row],[Units Sold]]*Table17[[#This Row],[Unit Price]]</f>
        <v>196715.44</v>
      </c>
    </row>
    <row r="308" spans="1:11" ht="15" thickBot="1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  <c r="K308" s="17">
        <f>Table17[[#This Row],[Units Sold]]*Table17[[#This Row],[Unit Price]]</f>
        <v>29944.05</v>
      </c>
    </row>
    <row r="309" spans="1:11" ht="15" thickBot="1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  <c r="K309" s="17">
        <f>Table17[[#This Row],[Units Sold]]*Table17[[#This Row],[Unit Price]]</f>
        <v>12638.779999999999</v>
      </c>
    </row>
    <row r="310" spans="1:11" ht="15" thickBot="1">
      <c r="A310" s="3" t="s">
        <v>334</v>
      </c>
      <c r="B310" s="3" t="s">
        <v>22</v>
      </c>
      <c r="C310" s="3" t="s">
        <v>12</v>
      </c>
      <c r="D310" s="3"/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  <c r="K310" s="17">
        <f>Table17[[#This Row],[Units Sold]]*Table17[[#This Row],[Unit Price]]</f>
        <v>30578.6</v>
      </c>
    </row>
    <row r="311" spans="1:11" ht="15" thickBot="1">
      <c r="A311" s="3" t="s">
        <v>335</v>
      </c>
      <c r="B311" s="3" t="s">
        <v>17</v>
      </c>
      <c r="C311" s="3" t="s">
        <v>31</v>
      </c>
      <c r="D311" s="3"/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  <c r="K311" s="17">
        <f>Table17[[#This Row],[Units Sold]]*Table17[[#This Row],[Unit Price]]</f>
        <v>14061.22</v>
      </c>
    </row>
    <row r="312" spans="1:11" ht="15" thickBot="1">
      <c r="A312" s="3" t="s">
        <v>336</v>
      </c>
      <c r="B312" s="3" t="s">
        <v>48</v>
      </c>
      <c r="C312" s="3" t="s">
        <v>50</v>
      </c>
      <c r="D312" s="3"/>
      <c r="E312" s="3" t="s">
        <v>14</v>
      </c>
      <c r="F312" s="3" t="s">
        <v>28</v>
      </c>
      <c r="G312" s="4">
        <v>45234</v>
      </c>
      <c r="H312" s="3">
        <v>157</v>
      </c>
      <c r="I312" s="3"/>
      <c r="J312" s="3">
        <v>274.99</v>
      </c>
      <c r="K312" s="17">
        <f>Table17[[#This Row],[Units Sold]]*Table17[[#This Row],[Unit Price]]</f>
        <v>0</v>
      </c>
    </row>
    <row r="313" spans="1:11" ht="15" thickBot="1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  <c r="K313" s="17">
        <f>Table17[[#This Row],[Units Sold]]*Table17[[#This Row],[Unit Price]]</f>
        <v>58083.9</v>
      </c>
    </row>
    <row r="314" spans="1:11" ht="15" thickBot="1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  <c r="K314" s="17">
        <f>Table17[[#This Row],[Units Sold]]*Table17[[#This Row],[Unit Price]]</f>
        <v>25163.86</v>
      </c>
    </row>
    <row r="315" spans="1:11" ht="15" thickBot="1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  <c r="K315" s="17">
        <f>Table17[[#This Row],[Units Sold]]*Table17[[#This Row],[Unit Price]]</f>
        <v>100087.95</v>
      </c>
    </row>
    <row r="316" spans="1:11" ht="15" thickBot="1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  <c r="K316" s="17">
        <f>Table17[[#This Row],[Units Sold]]*Table17[[#This Row],[Unit Price]]</f>
        <v>42164.25</v>
      </c>
    </row>
    <row r="317" spans="1:11" ht="15" thickBot="1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  <c r="K317" s="17">
        <f>Table17[[#This Row],[Units Sold]]*Table17[[#This Row],[Unit Price]]</f>
        <v>7758.41</v>
      </c>
    </row>
    <row r="318" spans="1:11" ht="15" thickBot="1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3"/>
      <c r="I318" s="3">
        <v>192.35</v>
      </c>
      <c r="J318" s="3">
        <v>227.09</v>
      </c>
      <c r="K318" s="17">
        <f>Table17[[#This Row],[Units Sold]]*Table17[[#This Row],[Unit Price]]</f>
        <v>0</v>
      </c>
    </row>
    <row r="319" spans="1:11" ht="15" thickBot="1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  <c r="K319" s="17">
        <f>Table17[[#This Row],[Units Sold]]*Table17[[#This Row],[Unit Price]]</f>
        <v>2031.26</v>
      </c>
    </row>
    <row r="320" spans="1:11" ht="15" thickBot="1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  <c r="K320" s="17">
        <f>Table17[[#This Row],[Units Sold]]*Table17[[#This Row],[Unit Price]]</f>
        <v>116475.84</v>
      </c>
    </row>
    <row r="321" spans="1:11" ht="15" thickBot="1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3"/>
      <c r="I321" s="3">
        <v>225.94</v>
      </c>
      <c r="J321" s="3">
        <v>280.7</v>
      </c>
      <c r="K321" s="17">
        <f>Table17[[#This Row],[Units Sold]]*Table17[[#This Row],[Unit Price]]</f>
        <v>0</v>
      </c>
    </row>
    <row r="322" spans="1:11" ht="15" thickBot="1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  <c r="K322" s="17">
        <f>Table17[[#This Row],[Units Sold]]*Table17[[#This Row],[Unit Price]]</f>
        <v>41169.040000000001</v>
      </c>
    </row>
    <row r="323" spans="1:11" ht="15" thickBot="1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  <c r="K323" s="17">
        <f>Table17[[#This Row],[Units Sold]]*Table17[[#This Row],[Unit Price]]</f>
        <v>137399.79999999999</v>
      </c>
    </row>
    <row r="324" spans="1:11" ht="15" thickBot="1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  <c r="K324" s="17">
        <f>Table17[[#This Row],[Units Sold]]*Table17[[#This Row],[Unit Price]]</f>
        <v>20701.62</v>
      </c>
    </row>
    <row r="325" spans="1:11" ht="15" thickBot="1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  <c r="K325" s="17">
        <f>Table17[[#This Row],[Units Sold]]*Table17[[#This Row],[Unit Price]]</f>
        <v>204914.52</v>
      </c>
    </row>
    <row r="326" spans="1:11" ht="15" thickBot="1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  <c r="K326" s="17">
        <f>Table17[[#This Row],[Units Sold]]*Table17[[#This Row],[Unit Price]]</f>
        <v>27460.66</v>
      </c>
    </row>
    <row r="327" spans="1:11" ht="15" thickBot="1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  <c r="K327" s="17">
        <f>Table17[[#This Row],[Units Sold]]*Table17[[#This Row],[Unit Price]]</f>
        <v>47330</v>
      </c>
    </row>
    <row r="328" spans="1:11" ht="15" thickBot="1">
      <c r="A328" s="3" t="s">
        <v>352</v>
      </c>
      <c r="B328" s="3" t="s">
        <v>48</v>
      </c>
      <c r="C328" s="3" t="s">
        <v>18</v>
      </c>
      <c r="D328" s="3"/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  <c r="K328" s="17">
        <f>Table17[[#This Row],[Units Sold]]*Table17[[#This Row],[Unit Price]]</f>
        <v>14570.57</v>
      </c>
    </row>
    <row r="329" spans="1:11" ht="15" thickBot="1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  <c r="K329" s="17">
        <f>Table17[[#This Row],[Units Sold]]*Table17[[#This Row],[Unit Price]]</f>
        <v>86191.35</v>
      </c>
    </row>
    <row r="330" spans="1:11" ht="15" thickBot="1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  <c r="K330" s="17">
        <f>Table17[[#This Row],[Units Sold]]*Table17[[#This Row],[Unit Price]]</f>
        <v>23993.759999999998</v>
      </c>
    </row>
    <row r="331" spans="1:11" ht="15" thickBot="1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  <c r="K331" s="17">
        <f>Table17[[#This Row],[Units Sold]]*Table17[[#This Row],[Unit Price]]</f>
        <v>83593.37000000001</v>
      </c>
    </row>
    <row r="332" spans="1:11" ht="15" thickBot="1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3"/>
      <c r="I332" s="3">
        <v>5.61</v>
      </c>
      <c r="J332" s="3">
        <v>193.4</v>
      </c>
      <c r="K332" s="17">
        <f>Table17[[#This Row],[Units Sold]]*Table17[[#This Row],[Unit Price]]</f>
        <v>0</v>
      </c>
    </row>
    <row r="333" spans="1:11" ht="15" thickBot="1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  <c r="K333" s="17">
        <f>Table17[[#This Row],[Units Sold]]*Table17[[#This Row],[Unit Price]]</f>
        <v>56642.559999999998</v>
      </c>
    </row>
    <row r="334" spans="1:11" ht="15" thickBot="1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  <c r="K334" s="17">
        <f>Table17[[#This Row],[Units Sold]]*Table17[[#This Row],[Unit Price]]</f>
        <v>48580.29</v>
      </c>
    </row>
    <row r="335" spans="1:11" ht="15" thickBot="1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  <c r="K335" s="17">
        <f>Table17[[#This Row],[Units Sold]]*Table17[[#This Row],[Unit Price]]</f>
        <v>43932.81</v>
      </c>
    </row>
    <row r="336" spans="1:11" ht="15" thickBot="1">
      <c r="A336" s="3" t="s">
        <v>360</v>
      </c>
      <c r="B336" s="3"/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  <c r="K336" s="17">
        <f>Table17[[#This Row],[Units Sold]]*Table17[[#This Row],[Unit Price]]</f>
        <v>25459.85</v>
      </c>
    </row>
    <row r="337" spans="1:11" ht="15" thickBot="1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  <c r="K337" s="17">
        <f>Table17[[#This Row],[Units Sold]]*Table17[[#This Row],[Unit Price]]</f>
        <v>9776.64</v>
      </c>
    </row>
    <row r="338" spans="1:11" ht="15" thickBot="1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  <c r="K338" s="17">
        <f>Table17[[#This Row],[Units Sold]]*Table17[[#This Row],[Unit Price]]</f>
        <v>239220.11</v>
      </c>
    </row>
    <row r="339" spans="1:11" ht="15" thickBot="1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  <c r="K339" s="17">
        <f>Table17[[#This Row],[Units Sold]]*Table17[[#This Row],[Unit Price]]</f>
        <v>1714.65</v>
      </c>
    </row>
    <row r="340" spans="1:11" ht="15" thickBot="1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  <c r="K340" s="17">
        <f>Table17[[#This Row],[Units Sold]]*Table17[[#This Row],[Unit Price]]</f>
        <v>142041.59999999998</v>
      </c>
    </row>
    <row r="341" spans="1:11" ht="15" thickBot="1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  <c r="K341" s="17">
        <f>Table17[[#This Row],[Units Sold]]*Table17[[#This Row],[Unit Price]]</f>
        <v>168446.02</v>
      </c>
    </row>
    <row r="342" spans="1:11" ht="15" thickBot="1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  <c r="K342" s="17">
        <f>Table17[[#This Row],[Units Sold]]*Table17[[#This Row],[Unit Price]]</f>
        <v>39441.54</v>
      </c>
    </row>
    <row r="343" spans="1:11" ht="15" thickBot="1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  <c r="K343" s="17">
        <f>Table17[[#This Row],[Units Sold]]*Table17[[#This Row],[Unit Price]]</f>
        <v>124507.98000000001</v>
      </c>
    </row>
    <row r="344" spans="1:11" ht="15" thickBot="1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  <c r="K344" s="17">
        <f>Table17[[#This Row],[Units Sold]]*Table17[[#This Row],[Unit Price]]</f>
        <v>23868</v>
      </c>
    </row>
    <row r="345" spans="1:11" ht="15" thickBot="1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  <c r="K345" s="17">
        <f>Table17[[#This Row],[Units Sold]]*Table17[[#This Row],[Unit Price]]</f>
        <v>43110.240000000005</v>
      </c>
    </row>
    <row r="346" spans="1:11" ht="15" thickBot="1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  <c r="K346" s="17">
        <f>Table17[[#This Row],[Units Sold]]*Table17[[#This Row],[Unit Price]]</f>
        <v>181704.6</v>
      </c>
    </row>
    <row r="347" spans="1:11" ht="15" thickBot="1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  <c r="K347" s="17">
        <f>Table17[[#This Row],[Units Sold]]*Table17[[#This Row],[Unit Price]]</f>
        <v>57158.64</v>
      </c>
    </row>
    <row r="348" spans="1:11" ht="15" thickBot="1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  <c r="K348" s="17">
        <f>Table17[[#This Row],[Units Sold]]*Table17[[#This Row],[Unit Price]]</f>
        <v>122173.79999999999</v>
      </c>
    </row>
    <row r="349" spans="1:11" ht="15" thickBot="1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  <c r="K349" s="17">
        <f>Table17[[#This Row],[Units Sold]]*Table17[[#This Row],[Unit Price]]</f>
        <v>4606.0199999999995</v>
      </c>
    </row>
    <row r="350" spans="1:11" ht="15" thickBot="1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  <c r="K350" s="17">
        <f>Table17[[#This Row],[Units Sold]]*Table17[[#This Row],[Unit Price]]</f>
        <v>22726.06</v>
      </c>
    </row>
    <row r="351" spans="1:11" ht="15" thickBot="1">
      <c r="A351" s="3" t="s">
        <v>375</v>
      </c>
      <c r="B351" s="3"/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  <c r="K351" s="17">
        <f>Table17[[#This Row],[Units Sold]]*Table17[[#This Row],[Unit Price]]</f>
        <v>2971.6800000000003</v>
      </c>
    </row>
    <row r="352" spans="1:11" ht="15" thickBot="1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  <c r="K352" s="17">
        <f>Table17[[#This Row],[Units Sold]]*Table17[[#This Row],[Unit Price]]</f>
        <v>23272.32</v>
      </c>
    </row>
    <row r="353" spans="1:11" ht="15" thickBot="1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  <c r="K353" s="17">
        <f>Table17[[#This Row],[Units Sold]]*Table17[[#This Row],[Unit Price]]</f>
        <v>27269.280000000002</v>
      </c>
    </row>
    <row r="354" spans="1:11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 s="5">
        <v>425</v>
      </c>
      <c r="I354" s="5">
        <v>174.13</v>
      </c>
      <c r="J354" s="5">
        <v>315.27999999999997</v>
      </c>
      <c r="K354" s="18">
        <f>Table17[[#This Row],[Units Sold]]*Table17[[#This Row],[Unit Price]]</f>
        <v>74005.25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34B2-3196-429E-9B7C-8451554C9BF9}">
  <dimension ref="A1:J357"/>
  <sheetViews>
    <sheetView topLeftCell="A338" workbookViewId="0">
      <selection activeCell="D357" sqref="D357"/>
    </sheetView>
  </sheetViews>
  <sheetFormatPr defaultRowHeight="14.4"/>
  <cols>
    <col min="1" max="1" width="12.44140625" bestFit="1" customWidth="1"/>
    <col min="2" max="2" width="11.21875" bestFit="1" customWidth="1"/>
    <col min="3" max="3" width="12.21875" bestFit="1" customWidth="1"/>
    <col min="4" max="4" width="13" bestFit="1" customWidth="1"/>
    <col min="5" max="5" width="12.33203125" bestFit="1" customWidth="1"/>
    <col min="6" max="6" width="11.5546875" bestFit="1" customWidth="1"/>
    <col min="7" max="7" width="15.44140625" bestFit="1" customWidth="1"/>
    <col min="8" max="8" width="9.77734375" bestFit="1" customWidth="1"/>
    <col min="9" max="9" width="9.5546875" bestFit="1" customWidth="1"/>
    <col min="10" max="10" width="13.109375" bestFit="1" customWidth="1"/>
  </cols>
  <sheetData>
    <row r="1" spans="1:10">
      <c r="A1" s="7" t="s">
        <v>400</v>
      </c>
    </row>
    <row r="2" spans="1:10">
      <c r="A2" s="7" t="s">
        <v>401</v>
      </c>
    </row>
    <row r="4" spans="1:10" ht="29.4" thickBo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29.4" thickBo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</row>
    <row r="6" spans="1:10" ht="15" thickBot="1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</row>
    <row r="7" spans="1:10" ht="15" thickBot="1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</row>
    <row r="8" spans="1:10" ht="15" thickBot="1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</row>
    <row r="9" spans="1:10" ht="15" thickBot="1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</row>
    <row r="10" spans="1:10" ht="15" thickBot="1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</row>
    <row r="11" spans="1:10" ht="15" thickBot="1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</row>
    <row r="12" spans="1:10" ht="29.4" thickBot="1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</row>
    <row r="13" spans="1:10" ht="29.4" thickBot="1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</row>
    <row r="14" spans="1:10" ht="15" thickBot="1">
      <c r="A14" s="3" t="s">
        <v>35</v>
      </c>
      <c r="B14" s="3"/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</row>
    <row r="15" spans="1:10" ht="15" thickBot="1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</row>
    <row r="16" spans="1:10" ht="15" thickBot="1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</row>
    <row r="17" spans="1:10" ht="15" thickBot="1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</row>
    <row r="18" spans="1:10" ht="15" thickBot="1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</row>
    <row r="19" spans="1:10" ht="29.4" thickBot="1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</row>
    <row r="20" spans="1:10" ht="29.4" thickBot="1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</row>
    <row r="21" spans="1:10" ht="29.4" thickBot="1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</row>
    <row r="22" spans="1:10" ht="15" thickBot="1">
      <c r="A22" s="3" t="s">
        <v>44</v>
      </c>
      <c r="B22" s="3"/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</row>
    <row r="23" spans="1:10" ht="29.4" thickBot="1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</row>
    <row r="24" spans="1:10" ht="15" thickBot="1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</row>
    <row r="25" spans="1:10" ht="29.4" thickBot="1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</row>
    <row r="26" spans="1:10" ht="15" thickBot="1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</row>
    <row r="27" spans="1:10" ht="29.4" thickBot="1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</row>
    <row r="28" spans="1:10" ht="29.4" thickBot="1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</row>
    <row r="29" spans="1:10" ht="15" thickBot="1">
      <c r="A29" s="3" t="s">
        <v>53</v>
      </c>
      <c r="B29" s="3" t="s">
        <v>17</v>
      </c>
      <c r="C29" s="3" t="s">
        <v>18</v>
      </c>
      <c r="D29" s="3"/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</row>
    <row r="30" spans="1:10" ht="29.4" thickBot="1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</row>
    <row r="31" spans="1:10" ht="15" thickBot="1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</row>
    <row r="32" spans="1:10" ht="15" thickBot="1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3"/>
      <c r="J32" s="3">
        <v>383.01</v>
      </c>
    </row>
    <row r="33" spans="1:10" ht="29.4" thickBot="1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</row>
    <row r="34" spans="1:10" ht="29.4" thickBot="1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</row>
    <row r="35" spans="1:10" ht="29.4" thickBot="1">
      <c r="A35" s="3" t="s">
        <v>59</v>
      </c>
      <c r="B35" s="3"/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</row>
    <row r="36" spans="1:10" ht="29.4" thickBot="1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</row>
    <row r="37" spans="1:10" ht="29.4" thickBot="1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</row>
    <row r="38" spans="1:10" ht="15" thickBot="1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</row>
    <row r="39" spans="1:10" ht="15" thickBot="1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</row>
    <row r="40" spans="1:10" ht="29.4" thickBot="1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</row>
    <row r="41" spans="1:10" ht="15" thickBot="1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3"/>
      <c r="J41" s="3">
        <v>332.07</v>
      </c>
    </row>
    <row r="42" spans="1:10" ht="15" thickBot="1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</row>
    <row r="43" spans="1:10" ht="15" thickBot="1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3"/>
      <c r="I43" s="3">
        <v>91.23</v>
      </c>
      <c r="J43" s="3">
        <v>381.21</v>
      </c>
    </row>
    <row r="44" spans="1:10" ht="15" thickBot="1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</row>
    <row r="45" spans="1:10" ht="29.4" thickBot="1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</row>
    <row r="46" spans="1:10" ht="15" thickBot="1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</row>
    <row r="47" spans="1:10" ht="29.4" thickBot="1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</row>
    <row r="48" spans="1:10" ht="29.4" thickBot="1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</row>
    <row r="49" spans="1:10" ht="29.4" thickBot="1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3"/>
      <c r="J49" s="3">
        <v>94.56</v>
      </c>
    </row>
    <row r="50" spans="1:10" ht="29.4" thickBot="1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</row>
    <row r="51" spans="1:10" ht="15" thickBot="1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</row>
    <row r="52" spans="1:10" ht="29.4" thickBot="1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</row>
    <row r="53" spans="1:10" ht="15" thickBot="1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</row>
    <row r="54" spans="1:10" ht="15" thickBot="1">
      <c r="A54" s="3" t="s">
        <v>78</v>
      </c>
      <c r="B54" s="3"/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</row>
    <row r="55" spans="1:10" ht="15" thickBot="1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</row>
    <row r="56" spans="1:10" ht="15" thickBot="1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</row>
    <row r="57" spans="1:10" ht="15" thickBot="1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</row>
    <row r="58" spans="1:10" ht="29.4" thickBot="1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</row>
    <row r="59" spans="1:10" ht="15" thickBot="1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</row>
    <row r="60" spans="1:10" ht="15" thickBot="1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</row>
    <row r="61" spans="1:10" ht="15" thickBot="1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</row>
    <row r="62" spans="1:10" ht="15" thickBot="1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</row>
    <row r="63" spans="1:10" ht="15" thickBot="1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</row>
    <row r="64" spans="1:10" ht="15" thickBot="1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</row>
    <row r="65" spans="1:10" ht="15" thickBot="1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</row>
    <row r="66" spans="1:10" ht="15" thickBot="1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</row>
    <row r="67" spans="1:10" ht="15" thickBot="1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</row>
    <row r="68" spans="1:10" ht="29.4" thickBot="1">
      <c r="A68" s="3" t="s">
        <v>92</v>
      </c>
      <c r="B68" s="3"/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</row>
    <row r="69" spans="1:10" ht="29.4" thickBot="1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</row>
    <row r="70" spans="1:10" ht="15" thickBot="1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</row>
    <row r="71" spans="1:10" ht="15" thickBot="1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</row>
    <row r="72" spans="1:10" ht="29.4" thickBot="1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</row>
    <row r="73" spans="1:10" ht="29.4" thickBot="1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</row>
    <row r="74" spans="1:10" ht="29.4" thickBot="1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</row>
    <row r="75" spans="1:10" ht="29.4" thickBot="1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</row>
    <row r="76" spans="1:10" ht="15" thickBot="1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</row>
    <row r="77" spans="1:10" ht="29.4" thickBot="1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</row>
    <row r="78" spans="1:10" ht="15" thickBot="1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</row>
    <row r="79" spans="1:10" ht="29.4" thickBot="1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</row>
    <row r="80" spans="1:10" ht="29.4" thickBot="1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</row>
    <row r="81" spans="1:10" ht="15" thickBot="1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</row>
    <row r="82" spans="1:10" ht="29.4" thickBot="1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</row>
    <row r="83" spans="1:10" ht="15" thickBot="1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</row>
    <row r="84" spans="1:10" ht="15" thickBot="1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3"/>
      <c r="J84" s="3">
        <v>339.51</v>
      </c>
    </row>
    <row r="85" spans="1:10" ht="29.4" thickBot="1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</row>
    <row r="86" spans="1:10" ht="29.4" thickBot="1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</row>
    <row r="87" spans="1:10" ht="15" thickBot="1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</row>
    <row r="88" spans="1:10" ht="15" thickBot="1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</row>
    <row r="89" spans="1:10" ht="15" thickBot="1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</row>
    <row r="90" spans="1:10" ht="15" thickBot="1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</row>
    <row r="91" spans="1:10" ht="29.4" thickBot="1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</row>
    <row r="92" spans="1:10" ht="29.4" thickBot="1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</row>
    <row r="93" spans="1:10" ht="29.4" thickBot="1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</row>
    <row r="94" spans="1:10" ht="29.4" thickBot="1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</row>
    <row r="95" spans="1:10" ht="15" thickBot="1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</row>
    <row r="96" spans="1:10" ht="29.4" thickBot="1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3"/>
      <c r="J96" s="3">
        <v>55.25</v>
      </c>
    </row>
    <row r="97" spans="1:10" ht="15" thickBot="1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</row>
    <row r="98" spans="1:10" ht="29.4" thickBot="1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</row>
    <row r="99" spans="1:10" ht="15" thickBot="1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</row>
    <row r="100" spans="1:10" ht="29.4" thickBot="1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</row>
    <row r="101" spans="1:10" ht="15" thickBot="1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</row>
    <row r="102" spans="1:10" ht="15" thickBot="1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</row>
    <row r="103" spans="1:10" ht="29.4" thickBot="1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</row>
    <row r="104" spans="1:10" ht="29.4" thickBot="1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</row>
    <row r="105" spans="1:10" ht="29.4" thickBot="1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</row>
    <row r="106" spans="1:10" ht="15" thickBot="1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</row>
    <row r="107" spans="1:10" ht="29.4" thickBot="1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</row>
    <row r="108" spans="1:10" ht="15" thickBot="1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</row>
    <row r="109" spans="1:10" ht="29.4" thickBot="1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</row>
    <row r="110" spans="1:10" ht="29.4" thickBot="1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</row>
    <row r="111" spans="1:10" ht="15" thickBot="1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</row>
    <row r="112" spans="1:10" ht="29.4" thickBot="1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</row>
    <row r="113" spans="1:10" ht="29.4" thickBot="1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</row>
    <row r="114" spans="1:10" ht="29.4" thickBot="1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</row>
    <row r="115" spans="1:10" ht="15" thickBot="1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</row>
    <row r="116" spans="1:10" ht="29.4" thickBot="1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</row>
    <row r="117" spans="1:10" ht="29.4" thickBot="1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</row>
    <row r="118" spans="1:10" ht="29.4" thickBot="1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</row>
    <row r="119" spans="1:10" ht="29.4" thickBot="1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</row>
    <row r="120" spans="1:10" ht="15" thickBot="1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</row>
    <row r="121" spans="1:10" ht="15" thickBot="1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</row>
    <row r="122" spans="1:10" ht="15" thickBot="1">
      <c r="A122" s="3" t="s">
        <v>146</v>
      </c>
      <c r="B122" s="3"/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</row>
    <row r="123" spans="1:10" ht="29.4" thickBot="1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</row>
    <row r="124" spans="1:10" ht="29.4" thickBot="1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</row>
    <row r="125" spans="1:10" ht="29.4" thickBot="1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</row>
    <row r="126" spans="1:10" ht="29.4" thickBot="1">
      <c r="A126" s="3" t="s">
        <v>150</v>
      </c>
      <c r="B126" s="3"/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</row>
    <row r="127" spans="1:10" ht="15" thickBot="1">
      <c r="A127" s="8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</row>
    <row r="128" spans="1:10" ht="29.4" thickBot="1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</row>
    <row r="129" spans="1:10" ht="29.4" thickBot="1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</row>
    <row r="130" spans="1:10" ht="15" thickBot="1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</row>
    <row r="131" spans="1:10" ht="29.4" thickBot="1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</row>
    <row r="132" spans="1:10" ht="29.4" thickBot="1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</row>
    <row r="133" spans="1:10" ht="15" thickBot="1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</row>
    <row r="134" spans="1:10" ht="15" thickBot="1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</row>
    <row r="135" spans="1:10" ht="15" thickBot="1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3"/>
      <c r="I135" s="3">
        <v>268.45999999999998</v>
      </c>
      <c r="J135" s="3">
        <v>199.19</v>
      </c>
    </row>
    <row r="136" spans="1:10" ht="15" thickBot="1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</row>
    <row r="137" spans="1:10" ht="15" thickBot="1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</row>
    <row r="138" spans="1:10" ht="15" thickBot="1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</row>
    <row r="139" spans="1:10" ht="15" thickBot="1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</row>
    <row r="140" spans="1:10" ht="15" thickBot="1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</row>
    <row r="141" spans="1:10" ht="15" thickBot="1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</row>
    <row r="142" spans="1:10" ht="29.4" thickBot="1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</row>
    <row r="143" spans="1:10" ht="15" thickBot="1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</row>
    <row r="144" spans="1:10" ht="29.4" thickBot="1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</row>
    <row r="145" spans="1:10" ht="15" thickBot="1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</row>
    <row r="146" spans="1:10" ht="29.4" thickBot="1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</row>
    <row r="147" spans="1:10" ht="29.4" thickBot="1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</row>
    <row r="148" spans="1:10" ht="29.4" thickBot="1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</row>
    <row r="149" spans="1:10" ht="29.4" thickBot="1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</row>
    <row r="150" spans="1:10" ht="15" thickBot="1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</row>
    <row r="151" spans="1:10" ht="15" thickBot="1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</row>
    <row r="152" spans="1:10" ht="15" thickBot="1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</row>
    <row r="153" spans="1:10" ht="15" thickBot="1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</row>
    <row r="154" spans="1:10" ht="15" thickBot="1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</row>
    <row r="155" spans="1:10" ht="15" thickBot="1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</row>
    <row r="156" spans="1:10" ht="15" thickBot="1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</row>
    <row r="157" spans="1:10" ht="15" thickBot="1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</row>
    <row r="158" spans="1:10" ht="15" thickBot="1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</row>
    <row r="159" spans="1:10" ht="15" thickBot="1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</row>
    <row r="160" spans="1:10" ht="15" thickBot="1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</row>
    <row r="161" spans="1:10" ht="15" thickBot="1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3"/>
      <c r="J161" s="3">
        <v>220.75</v>
      </c>
    </row>
    <row r="162" spans="1:10" ht="29.4" thickBot="1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</row>
    <row r="163" spans="1:10" ht="15" thickBot="1">
      <c r="A163" s="3" t="s">
        <v>187</v>
      </c>
      <c r="B163" s="3" t="s">
        <v>22</v>
      </c>
      <c r="C163" s="3" t="s">
        <v>31</v>
      </c>
      <c r="D163" s="3"/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</row>
    <row r="164" spans="1:10" ht="15" thickBot="1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</row>
    <row r="165" spans="1:10" ht="15" thickBot="1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</row>
    <row r="166" spans="1:10" ht="15" thickBot="1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</row>
    <row r="167" spans="1:10" ht="29.4" thickBot="1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</row>
    <row r="168" spans="1:10" ht="29.4" thickBot="1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</row>
    <row r="169" spans="1:10" ht="29.4" thickBot="1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</row>
    <row r="170" spans="1:10" ht="15" thickBot="1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</row>
    <row r="171" spans="1:10" ht="15" thickBot="1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</row>
    <row r="172" spans="1:10" ht="29.4" thickBot="1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</row>
    <row r="173" spans="1:10" ht="15" thickBot="1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</row>
    <row r="174" spans="1:10" ht="29.4" thickBot="1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</row>
    <row r="175" spans="1:10" ht="15" thickBot="1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</row>
    <row r="176" spans="1:10" ht="15" thickBot="1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</row>
    <row r="177" spans="1:10" ht="29.4" thickBot="1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</row>
    <row r="178" spans="1:10" ht="15" thickBot="1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</row>
    <row r="179" spans="1:10" ht="29.4" thickBot="1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</row>
    <row r="180" spans="1:10" ht="15" thickBot="1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</row>
    <row r="181" spans="1:10" ht="29.4" thickBot="1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</row>
    <row r="182" spans="1:10" ht="15" thickBot="1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</row>
    <row r="183" spans="1:10" ht="15" thickBot="1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</row>
    <row r="184" spans="1:10" ht="15" thickBot="1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</row>
    <row r="185" spans="1:10" ht="15" thickBot="1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</row>
    <row r="186" spans="1:10" ht="29.4" thickBot="1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</row>
    <row r="187" spans="1:10" ht="15" thickBot="1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</row>
    <row r="188" spans="1:10" ht="15" thickBot="1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</row>
    <row r="189" spans="1:10" ht="15" thickBot="1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</row>
    <row r="190" spans="1:10" ht="29.4" thickBot="1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</row>
    <row r="191" spans="1:10" ht="15" thickBot="1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</row>
    <row r="192" spans="1:10" ht="15" thickBot="1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</row>
    <row r="193" spans="1:10" ht="15" thickBot="1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</row>
    <row r="194" spans="1:10" ht="29.4" thickBot="1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</row>
    <row r="195" spans="1:10" ht="15" thickBot="1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</row>
    <row r="196" spans="1:10" ht="29.4" thickBot="1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</row>
    <row r="197" spans="1:10" ht="15" thickBot="1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</row>
    <row r="198" spans="1:10" ht="15" thickBot="1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</row>
    <row r="199" spans="1:10" ht="15" thickBot="1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</row>
    <row r="200" spans="1:10" ht="29.4" thickBot="1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</row>
    <row r="201" spans="1:10" ht="29.4" thickBot="1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</row>
    <row r="202" spans="1:10" ht="15" thickBot="1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</row>
    <row r="203" spans="1:10" ht="15" thickBot="1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</row>
    <row r="204" spans="1:10" ht="15" thickBot="1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3"/>
      <c r="I204" s="3">
        <v>407.81</v>
      </c>
      <c r="J204" s="3">
        <v>351.95</v>
      </c>
    </row>
    <row r="205" spans="1:10" ht="29.4" thickBot="1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</row>
    <row r="206" spans="1:10" ht="29.4" thickBot="1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</row>
    <row r="207" spans="1:10" ht="29.4" thickBot="1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</row>
    <row r="208" spans="1:10" ht="29.4" thickBot="1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</row>
    <row r="209" spans="1:10" ht="29.4" thickBot="1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</row>
    <row r="210" spans="1:10" ht="15" thickBot="1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</row>
    <row r="211" spans="1:10" ht="15" thickBot="1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</row>
    <row r="212" spans="1:10" ht="15" thickBot="1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</row>
    <row r="213" spans="1:10" ht="29.4" thickBot="1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</row>
    <row r="214" spans="1:10" ht="15" thickBot="1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</row>
    <row r="215" spans="1:10" ht="15" thickBot="1">
      <c r="A215" s="3" t="s">
        <v>239</v>
      </c>
      <c r="B215" s="3" t="s">
        <v>11</v>
      </c>
      <c r="C215" s="3" t="s">
        <v>50</v>
      </c>
      <c r="D215" s="3"/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</row>
    <row r="216" spans="1:10" ht="15" thickBot="1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</row>
    <row r="217" spans="1:10" ht="29.4" thickBot="1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</row>
    <row r="218" spans="1:10" ht="15" thickBot="1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</row>
    <row r="219" spans="1:10" ht="29.4" thickBot="1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</row>
    <row r="220" spans="1:10" ht="29.4" thickBot="1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</row>
    <row r="221" spans="1:10" ht="15" thickBot="1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</row>
    <row r="222" spans="1:10" ht="29.4" thickBot="1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</row>
    <row r="223" spans="1:10" ht="29.4" thickBot="1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</row>
    <row r="224" spans="1:10" ht="15" thickBot="1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</row>
    <row r="225" spans="1:10" ht="15" thickBot="1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</row>
    <row r="226" spans="1:10" ht="29.4" thickBot="1">
      <c r="A226" s="3" t="s">
        <v>250</v>
      </c>
      <c r="B226" s="3"/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</row>
    <row r="227" spans="1:10" ht="29.4" thickBot="1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</row>
    <row r="228" spans="1:10" ht="15" thickBot="1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</row>
    <row r="229" spans="1:10" ht="29.4" thickBot="1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</row>
    <row r="230" spans="1:10" ht="15" thickBot="1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</row>
    <row r="231" spans="1:10" ht="15" thickBot="1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</row>
    <row r="232" spans="1:10" ht="15" thickBot="1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3"/>
      <c r="I232" s="3">
        <v>49.37</v>
      </c>
      <c r="J232" s="3">
        <v>39.32</v>
      </c>
    </row>
    <row r="233" spans="1:10" ht="15" thickBot="1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</row>
    <row r="234" spans="1:10" ht="29.4" thickBot="1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</row>
    <row r="235" spans="1:10" ht="15" thickBot="1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</row>
    <row r="236" spans="1:10" ht="15" thickBot="1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</row>
    <row r="237" spans="1:10" ht="15" thickBot="1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</row>
    <row r="238" spans="1:10" ht="15" thickBot="1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</row>
    <row r="239" spans="1:10" ht="15" thickBot="1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</row>
    <row r="240" spans="1:10" ht="15" thickBot="1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</row>
    <row r="241" spans="1:10" ht="29.4" thickBot="1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</row>
    <row r="242" spans="1:10" ht="15" thickBot="1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</row>
    <row r="243" spans="1:10" ht="15" thickBot="1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</row>
    <row r="244" spans="1:10" ht="15" thickBot="1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</row>
    <row r="245" spans="1:10" ht="15" thickBot="1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</row>
    <row r="246" spans="1:10" ht="29.4" thickBot="1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</row>
    <row r="247" spans="1:10" ht="29.4" thickBot="1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</row>
    <row r="248" spans="1:10" ht="15" thickBot="1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</row>
    <row r="249" spans="1:10" ht="15" thickBot="1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</row>
    <row r="250" spans="1:10" ht="29.4" thickBot="1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</row>
    <row r="251" spans="1:10" ht="29.4" thickBot="1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</row>
    <row r="252" spans="1:10" ht="15" thickBot="1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</row>
    <row r="253" spans="1:10" ht="15" thickBot="1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</row>
    <row r="254" spans="1:10" ht="29.4" thickBot="1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</row>
    <row r="255" spans="1:10" ht="29.4" thickBot="1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3"/>
      <c r="I255" s="3">
        <v>298.8</v>
      </c>
      <c r="J255" s="3">
        <v>333.41</v>
      </c>
    </row>
    <row r="256" spans="1:10" ht="29.4" thickBot="1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</row>
    <row r="257" spans="1:10" ht="15" thickBot="1">
      <c r="A257" s="3" t="s">
        <v>281</v>
      </c>
      <c r="B257" s="3" t="s">
        <v>17</v>
      </c>
      <c r="C257" s="3" t="s">
        <v>12</v>
      </c>
      <c r="D257" s="3"/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</row>
    <row r="258" spans="1:10" ht="29.4" thickBot="1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</row>
    <row r="259" spans="1:10" ht="15" thickBot="1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</row>
    <row r="260" spans="1:10" ht="15" thickBot="1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</row>
    <row r="261" spans="1:10" ht="15" thickBot="1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3"/>
      <c r="J261" s="3">
        <v>337.1</v>
      </c>
    </row>
    <row r="262" spans="1:10" ht="29.4" thickBot="1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</row>
    <row r="263" spans="1:10" ht="29.4" thickBot="1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</row>
    <row r="264" spans="1:10" ht="15" thickBot="1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</row>
    <row r="265" spans="1:10" ht="15" thickBot="1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3"/>
      <c r="J265" s="3">
        <v>155.38</v>
      </c>
    </row>
    <row r="266" spans="1:10" ht="15" thickBot="1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</row>
    <row r="267" spans="1:10" ht="29.4" thickBot="1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</row>
    <row r="268" spans="1:10" ht="15" thickBot="1">
      <c r="A268" s="3" t="s">
        <v>292</v>
      </c>
      <c r="B268" s="3" t="s">
        <v>22</v>
      </c>
      <c r="C268" s="3" t="s">
        <v>18</v>
      </c>
      <c r="D268" s="3"/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</row>
    <row r="269" spans="1:10" ht="15" thickBot="1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</row>
    <row r="270" spans="1:10" ht="15" thickBot="1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</row>
    <row r="271" spans="1:10" ht="29.4" thickBot="1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</row>
    <row r="272" spans="1:10" ht="29.4" thickBot="1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</row>
    <row r="273" spans="1:10" ht="15" thickBot="1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</row>
    <row r="274" spans="1:10" ht="15" thickBot="1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</row>
    <row r="275" spans="1:10" ht="15" thickBot="1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</row>
    <row r="276" spans="1:10" ht="15" thickBot="1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</row>
    <row r="277" spans="1:10" ht="15" thickBot="1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</row>
    <row r="278" spans="1:10" ht="29.4" thickBot="1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</row>
    <row r="279" spans="1:10" ht="29.4" thickBot="1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</row>
    <row r="280" spans="1:10" ht="29.4" thickBot="1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</row>
    <row r="281" spans="1:10" ht="29.4" thickBot="1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</row>
    <row r="282" spans="1:10" ht="29.4" thickBot="1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</row>
    <row r="283" spans="1:10" ht="29.4" thickBot="1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</row>
    <row r="284" spans="1:10" ht="15" thickBot="1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</row>
    <row r="285" spans="1:10" ht="15" thickBot="1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</row>
    <row r="286" spans="1:10" ht="29.4" thickBot="1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</row>
    <row r="287" spans="1:10" ht="15" thickBot="1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</row>
    <row r="288" spans="1:10" ht="15" thickBot="1">
      <c r="A288" s="3" t="s">
        <v>312</v>
      </c>
      <c r="B288" s="3" t="s">
        <v>11</v>
      </c>
      <c r="C288" s="3" t="s">
        <v>12</v>
      </c>
      <c r="D288" s="3"/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</row>
    <row r="289" spans="1:10" ht="29.4" thickBot="1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</row>
    <row r="290" spans="1:10" ht="15" thickBot="1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</row>
    <row r="291" spans="1:10" ht="15" thickBot="1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</row>
    <row r="292" spans="1:10" ht="15" thickBot="1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3"/>
      <c r="J292" s="3">
        <v>278.77999999999997</v>
      </c>
    </row>
    <row r="293" spans="1:10" ht="15" thickBot="1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3"/>
      <c r="I293" s="3">
        <v>173.84</v>
      </c>
      <c r="J293" s="3">
        <v>298.88</v>
      </c>
    </row>
    <row r="294" spans="1:10" ht="15" thickBot="1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</row>
    <row r="295" spans="1:10" ht="15" thickBot="1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</row>
    <row r="296" spans="1:10" ht="29.4" thickBot="1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</row>
    <row r="297" spans="1:10" ht="15" thickBot="1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</row>
    <row r="298" spans="1:10" ht="29.4" thickBot="1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3"/>
      <c r="I298" s="3">
        <v>387.45</v>
      </c>
      <c r="J298" s="3">
        <v>150.63999999999999</v>
      </c>
    </row>
    <row r="299" spans="1:10" ht="15" thickBot="1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</row>
    <row r="300" spans="1:10" ht="15" thickBot="1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</row>
    <row r="301" spans="1:10" ht="15" thickBot="1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</row>
    <row r="302" spans="1:10" ht="15" thickBot="1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</row>
    <row r="303" spans="1:10" ht="29.4" thickBot="1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</row>
    <row r="304" spans="1:10" ht="15" thickBot="1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</row>
    <row r="305" spans="1:10" ht="29.4" thickBot="1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</row>
    <row r="306" spans="1:10" ht="15" thickBot="1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</row>
    <row r="307" spans="1:10" ht="15" thickBot="1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</row>
    <row r="308" spans="1:10" ht="15" thickBot="1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</row>
    <row r="309" spans="1:10" ht="15" thickBot="1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</row>
    <row r="310" spans="1:10" ht="15" thickBot="1">
      <c r="A310" s="3" t="s">
        <v>334</v>
      </c>
      <c r="B310" s="3" t="s">
        <v>22</v>
      </c>
      <c r="C310" s="3" t="s">
        <v>12</v>
      </c>
      <c r="D310" s="3"/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</row>
    <row r="311" spans="1:10" ht="15" thickBot="1">
      <c r="A311" s="3" t="s">
        <v>335</v>
      </c>
      <c r="B311" s="3" t="s">
        <v>17</v>
      </c>
      <c r="C311" s="3" t="s">
        <v>31</v>
      </c>
      <c r="D311" s="3"/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</row>
    <row r="312" spans="1:10" ht="15" thickBot="1">
      <c r="A312" s="3" t="s">
        <v>336</v>
      </c>
      <c r="B312" s="3" t="s">
        <v>48</v>
      </c>
      <c r="C312" s="3" t="s">
        <v>50</v>
      </c>
      <c r="D312" s="3"/>
      <c r="E312" s="3" t="s">
        <v>14</v>
      </c>
      <c r="F312" s="3" t="s">
        <v>28</v>
      </c>
      <c r="G312" s="4">
        <v>45234</v>
      </c>
      <c r="H312" s="3">
        <v>157</v>
      </c>
      <c r="I312" s="3"/>
      <c r="J312" s="3">
        <v>274.99</v>
      </c>
    </row>
    <row r="313" spans="1:10" ht="15" thickBot="1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</row>
    <row r="314" spans="1:10" ht="29.4" thickBot="1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</row>
    <row r="315" spans="1:10" ht="15" thickBot="1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</row>
    <row r="316" spans="1:10" ht="29.4" thickBot="1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</row>
    <row r="317" spans="1:10" ht="15" thickBot="1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</row>
    <row r="318" spans="1:10" ht="15" thickBot="1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3"/>
      <c r="I318" s="3">
        <v>192.35</v>
      </c>
      <c r="J318" s="3">
        <v>227.09</v>
      </c>
    </row>
    <row r="319" spans="1:10" ht="29.4" thickBot="1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</row>
    <row r="320" spans="1:10" ht="15" thickBot="1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</row>
    <row r="321" spans="1:10" ht="15" thickBot="1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3"/>
      <c r="I321" s="3">
        <v>225.94</v>
      </c>
      <c r="J321" s="3">
        <v>280.7</v>
      </c>
    </row>
    <row r="322" spans="1:10" ht="29.4" thickBot="1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</row>
    <row r="323" spans="1:10" ht="15" thickBot="1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</row>
    <row r="324" spans="1:10" ht="15" thickBot="1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</row>
    <row r="325" spans="1:10" ht="29.4" thickBot="1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</row>
    <row r="326" spans="1:10" ht="15" thickBot="1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</row>
    <row r="327" spans="1:10" ht="15" thickBot="1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</row>
    <row r="328" spans="1:10" ht="15" thickBot="1">
      <c r="A328" s="3" t="s">
        <v>352</v>
      </c>
      <c r="B328" s="3" t="s">
        <v>48</v>
      </c>
      <c r="C328" s="3" t="s">
        <v>18</v>
      </c>
      <c r="D328" s="3"/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</row>
    <row r="329" spans="1:10" ht="29.4" thickBot="1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</row>
    <row r="330" spans="1:10" ht="15" thickBot="1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</row>
    <row r="331" spans="1:10" ht="15" thickBot="1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</row>
    <row r="332" spans="1:10" ht="29.4" thickBot="1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3"/>
      <c r="I332" s="3">
        <v>5.61</v>
      </c>
      <c r="J332" s="3">
        <v>193.4</v>
      </c>
    </row>
    <row r="333" spans="1:10" ht="29.4" thickBot="1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</row>
    <row r="334" spans="1:10" ht="29.4" thickBot="1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</row>
    <row r="335" spans="1:10" ht="29.4" thickBot="1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</row>
    <row r="336" spans="1:10" ht="29.4" thickBot="1">
      <c r="A336" s="3" t="s">
        <v>360</v>
      </c>
      <c r="B336" s="3"/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</row>
    <row r="337" spans="1:10" ht="15" thickBot="1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</row>
    <row r="338" spans="1:10" ht="15" thickBot="1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</row>
    <row r="339" spans="1:10" ht="29.4" thickBot="1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</row>
    <row r="340" spans="1:10" ht="29.4" thickBot="1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</row>
    <row r="341" spans="1:10" ht="15" thickBot="1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</row>
    <row r="342" spans="1:10" ht="15" thickBot="1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</row>
    <row r="343" spans="1:10" ht="15" thickBot="1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</row>
    <row r="344" spans="1:10" ht="29.4" thickBot="1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</row>
    <row r="345" spans="1:10" ht="15" thickBot="1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</row>
    <row r="346" spans="1:10" ht="29.4" thickBot="1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</row>
    <row r="347" spans="1:10" ht="15" thickBot="1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</row>
    <row r="348" spans="1:10" ht="15" thickBot="1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</row>
    <row r="349" spans="1:10" ht="15" thickBot="1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</row>
    <row r="350" spans="1:10" ht="15" thickBot="1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</row>
    <row r="351" spans="1:10" ht="29.4" thickBot="1">
      <c r="A351" s="3" t="s">
        <v>375</v>
      </c>
      <c r="B351" s="3"/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</row>
    <row r="352" spans="1:10" ht="15" thickBot="1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</row>
    <row r="353" spans="1:10" ht="29.4" thickBot="1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</row>
    <row r="354" spans="1:10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 s="5">
        <v>425</v>
      </c>
      <c r="I354" s="5">
        <v>174.13</v>
      </c>
      <c r="J354" s="5">
        <v>315.27999999999997</v>
      </c>
    </row>
    <row r="356" spans="1:10">
      <c r="A356" s="19" t="s">
        <v>402</v>
      </c>
      <c r="B356" s="19"/>
    </row>
    <row r="357" spans="1:10">
      <c r="A357" s="19">
        <f>I127*J127</f>
        <v>129981.4875</v>
      </c>
      <c r="B357" s="1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512B-93BD-45A7-AC89-A121541C856F}">
  <dimension ref="A1:J354"/>
  <sheetViews>
    <sheetView topLeftCell="B337" workbookViewId="0">
      <selection activeCell="B4" sqref="B4:B354"/>
    </sheetView>
  </sheetViews>
  <sheetFormatPr defaultRowHeight="14.4"/>
  <cols>
    <col min="1" max="1" width="12.44140625" bestFit="1" customWidth="1"/>
    <col min="2" max="2" width="11.21875" bestFit="1" customWidth="1"/>
    <col min="3" max="3" width="12.21875" bestFit="1" customWidth="1"/>
    <col min="4" max="4" width="13" bestFit="1" customWidth="1"/>
    <col min="5" max="5" width="12.33203125" bestFit="1" customWidth="1"/>
    <col min="6" max="6" width="11.5546875" bestFit="1" customWidth="1"/>
    <col min="7" max="7" width="15.44140625" bestFit="1" customWidth="1"/>
    <col min="8" max="8" width="9.77734375" bestFit="1" customWidth="1"/>
    <col min="9" max="9" width="9.5546875" bestFit="1" customWidth="1"/>
    <col min="10" max="10" width="13.109375" bestFit="1" customWidth="1"/>
  </cols>
  <sheetData>
    <row r="1" spans="1:10">
      <c r="A1" s="7" t="s">
        <v>403</v>
      </c>
    </row>
    <row r="2" spans="1:10">
      <c r="A2" s="7" t="s">
        <v>404</v>
      </c>
    </row>
    <row r="4" spans="1:10" ht="29.4" thickBo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29.4" thickBo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</row>
    <row r="6" spans="1:10" ht="15" thickBot="1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</row>
    <row r="7" spans="1:10" ht="15" thickBot="1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</row>
    <row r="8" spans="1:10" ht="15" thickBot="1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</row>
    <row r="9" spans="1:10" ht="15" thickBot="1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</row>
    <row r="10" spans="1:10" ht="15" thickBot="1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</row>
    <row r="11" spans="1:10" ht="15" thickBot="1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</row>
    <row r="12" spans="1:10" ht="29.4" thickBot="1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</row>
    <row r="13" spans="1:10" ht="29.4" thickBot="1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</row>
    <row r="14" spans="1:10" ht="15" thickBot="1">
      <c r="A14" s="3" t="s">
        <v>35</v>
      </c>
      <c r="B14" s="3"/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</row>
    <row r="15" spans="1:10" ht="15" thickBot="1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</row>
    <row r="16" spans="1:10" ht="15" thickBot="1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</row>
    <row r="17" spans="1:10" ht="15" thickBot="1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</row>
    <row r="18" spans="1:10" ht="15" thickBot="1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</row>
    <row r="19" spans="1:10" ht="29.4" thickBot="1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</row>
    <row r="20" spans="1:10" ht="29.4" thickBot="1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</row>
    <row r="21" spans="1:10" ht="29.4" thickBot="1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</row>
    <row r="22" spans="1:10" ht="15" thickBot="1">
      <c r="A22" s="3" t="s">
        <v>44</v>
      </c>
      <c r="B22" s="3"/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</row>
    <row r="23" spans="1:10" ht="29.4" thickBot="1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</row>
    <row r="24" spans="1:10" ht="15" thickBot="1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</row>
    <row r="25" spans="1:10" ht="29.4" thickBot="1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</row>
    <row r="26" spans="1:10" ht="15" thickBot="1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</row>
    <row r="27" spans="1:10" ht="29.4" thickBot="1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</row>
    <row r="28" spans="1:10" ht="29.4" thickBot="1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</row>
    <row r="29" spans="1:10" ht="15" thickBot="1">
      <c r="A29" s="3" t="s">
        <v>53</v>
      </c>
      <c r="B29" s="3" t="s">
        <v>17</v>
      </c>
      <c r="C29" s="3" t="s">
        <v>18</v>
      </c>
      <c r="D29" s="3"/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</row>
    <row r="30" spans="1:10" ht="29.4" thickBot="1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</row>
    <row r="31" spans="1:10" ht="15" thickBot="1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</row>
    <row r="32" spans="1:10" ht="15" thickBot="1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3"/>
      <c r="J32" s="3">
        <v>383.01</v>
      </c>
    </row>
    <row r="33" spans="1:10" ht="29.4" thickBot="1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</row>
    <row r="34" spans="1:10" ht="29.4" thickBot="1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</row>
    <row r="35" spans="1:10" ht="29.4" thickBot="1">
      <c r="A35" s="3" t="s">
        <v>59</v>
      </c>
      <c r="B35" s="3"/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</row>
    <row r="36" spans="1:10" ht="29.4" thickBot="1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</row>
    <row r="37" spans="1:10" ht="29.4" thickBot="1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</row>
    <row r="38" spans="1:10" ht="15" thickBot="1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</row>
    <row r="39" spans="1:10" ht="15" thickBot="1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</row>
    <row r="40" spans="1:10" ht="29.4" thickBot="1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</row>
    <row r="41" spans="1:10" ht="15" thickBot="1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3"/>
      <c r="J41" s="3">
        <v>332.07</v>
      </c>
    </row>
    <row r="42" spans="1:10" ht="15" thickBot="1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</row>
    <row r="43" spans="1:10" ht="15" thickBot="1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3"/>
      <c r="I43" s="3">
        <v>91.23</v>
      </c>
      <c r="J43" s="3">
        <v>381.21</v>
      </c>
    </row>
    <row r="44" spans="1:10" ht="15" thickBot="1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</row>
    <row r="45" spans="1:10" ht="29.4" thickBot="1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</row>
    <row r="46" spans="1:10" ht="15" thickBot="1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</row>
    <row r="47" spans="1:10" ht="29.4" thickBot="1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</row>
    <row r="48" spans="1:10" ht="29.4" thickBot="1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</row>
    <row r="49" spans="1:10" ht="29.4" thickBot="1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3"/>
      <c r="J49" s="3">
        <v>94.56</v>
      </c>
    </row>
    <row r="50" spans="1:10" ht="29.4" thickBot="1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</row>
    <row r="51" spans="1:10" ht="15" thickBot="1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</row>
    <row r="52" spans="1:10" ht="29.4" thickBot="1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</row>
    <row r="53" spans="1:10" ht="15" thickBot="1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</row>
    <row r="54" spans="1:10" ht="15" thickBot="1">
      <c r="A54" s="3" t="s">
        <v>78</v>
      </c>
      <c r="B54" s="3"/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</row>
    <row r="55" spans="1:10" ht="15" thickBot="1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</row>
    <row r="56" spans="1:10" ht="15" thickBot="1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</row>
    <row r="57" spans="1:10" ht="15" thickBot="1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</row>
    <row r="58" spans="1:10" ht="29.4" thickBot="1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</row>
    <row r="59" spans="1:10" ht="15" thickBot="1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</row>
    <row r="60" spans="1:10" ht="15" thickBot="1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</row>
    <row r="61" spans="1:10" ht="15" thickBot="1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</row>
    <row r="62" spans="1:10" ht="15" thickBot="1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</row>
    <row r="63" spans="1:10" ht="15" thickBot="1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</row>
    <row r="64" spans="1:10" ht="15" thickBot="1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</row>
    <row r="65" spans="1:10" ht="15" thickBot="1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</row>
    <row r="66" spans="1:10" ht="15" thickBot="1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</row>
    <row r="67" spans="1:10" ht="15" thickBot="1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</row>
    <row r="68" spans="1:10" ht="29.4" thickBot="1">
      <c r="A68" s="3" t="s">
        <v>92</v>
      </c>
      <c r="B68" s="3"/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</row>
    <row r="69" spans="1:10" ht="29.4" thickBot="1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</row>
    <row r="70" spans="1:10" ht="15" thickBot="1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</row>
    <row r="71" spans="1:10" ht="15" thickBot="1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</row>
    <row r="72" spans="1:10" ht="29.4" thickBot="1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</row>
    <row r="73" spans="1:10" ht="29.4" thickBot="1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</row>
    <row r="74" spans="1:10" ht="29.4" thickBot="1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</row>
    <row r="75" spans="1:10" ht="29.4" thickBot="1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</row>
    <row r="76" spans="1:10" ht="15" thickBot="1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</row>
    <row r="77" spans="1:10" ht="29.4" thickBot="1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</row>
    <row r="78" spans="1:10" ht="15" thickBot="1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</row>
    <row r="79" spans="1:10" ht="29.4" thickBot="1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</row>
    <row r="80" spans="1:10" ht="29.4" thickBot="1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</row>
    <row r="81" spans="1:10" ht="15" thickBot="1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</row>
    <row r="82" spans="1:10" ht="29.4" thickBot="1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</row>
    <row r="83" spans="1:10" ht="15" thickBot="1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</row>
    <row r="84" spans="1:10" ht="15" thickBot="1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3"/>
      <c r="J84" s="3">
        <v>339.51</v>
      </c>
    </row>
    <row r="85" spans="1:10" ht="29.4" thickBot="1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</row>
    <row r="86" spans="1:10" ht="29.4" thickBot="1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</row>
    <row r="87" spans="1:10" ht="15" thickBot="1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</row>
    <row r="88" spans="1:10" ht="15" thickBot="1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</row>
    <row r="89" spans="1:10" ht="15" thickBot="1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</row>
    <row r="90" spans="1:10" ht="15" thickBot="1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</row>
    <row r="91" spans="1:10" ht="29.4" thickBot="1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</row>
    <row r="92" spans="1:10" ht="29.4" thickBot="1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</row>
    <row r="93" spans="1:10" ht="29.4" thickBot="1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</row>
    <row r="94" spans="1:10" ht="29.4" thickBot="1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</row>
    <row r="95" spans="1:10" ht="15" thickBot="1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</row>
    <row r="96" spans="1:10" ht="29.4" thickBot="1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3"/>
      <c r="J96" s="3">
        <v>55.25</v>
      </c>
    </row>
    <row r="97" spans="1:10" ht="15" thickBot="1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</row>
    <row r="98" spans="1:10" ht="29.4" thickBot="1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</row>
    <row r="99" spans="1:10" ht="15" thickBot="1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</row>
    <row r="100" spans="1:10" ht="29.4" thickBot="1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</row>
    <row r="101" spans="1:10" ht="15" thickBot="1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</row>
    <row r="102" spans="1:10" ht="15" thickBot="1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</row>
    <row r="103" spans="1:10" ht="29.4" thickBot="1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</row>
    <row r="104" spans="1:10" ht="29.4" thickBot="1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</row>
    <row r="105" spans="1:10" ht="29.4" thickBot="1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</row>
    <row r="106" spans="1:10" ht="15" thickBot="1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</row>
    <row r="107" spans="1:10" ht="29.4" thickBot="1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</row>
    <row r="108" spans="1:10" ht="15" thickBot="1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</row>
    <row r="109" spans="1:10" ht="29.4" thickBot="1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</row>
    <row r="110" spans="1:10" ht="29.4" thickBot="1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</row>
    <row r="111" spans="1:10" ht="15" thickBot="1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</row>
    <row r="112" spans="1:10" ht="29.4" thickBot="1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</row>
    <row r="113" spans="1:10" ht="29.4" thickBot="1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</row>
    <row r="114" spans="1:10" ht="29.4" thickBot="1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</row>
    <row r="115" spans="1:10" ht="15" thickBot="1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</row>
    <row r="116" spans="1:10" ht="29.4" thickBot="1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</row>
    <row r="117" spans="1:10" ht="29.4" thickBot="1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</row>
    <row r="118" spans="1:10" ht="29.4" thickBot="1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</row>
    <row r="119" spans="1:10" ht="29.4" thickBot="1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</row>
    <row r="120" spans="1:10" ht="15" thickBot="1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</row>
    <row r="121" spans="1:10" ht="15" thickBot="1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</row>
    <row r="122" spans="1:10" ht="15" thickBot="1">
      <c r="A122" s="3" t="s">
        <v>146</v>
      </c>
      <c r="B122" s="3"/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</row>
    <row r="123" spans="1:10" ht="29.4" thickBot="1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</row>
    <row r="124" spans="1:10" ht="29.4" thickBot="1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</row>
    <row r="125" spans="1:10" ht="29.4" thickBot="1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</row>
    <row r="126" spans="1:10" ht="29.4" thickBot="1">
      <c r="A126" s="3" t="s">
        <v>150</v>
      </c>
      <c r="B126" s="3"/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</row>
    <row r="127" spans="1:10" ht="15" thickBot="1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</row>
    <row r="128" spans="1:10" ht="29.4" thickBot="1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</row>
    <row r="129" spans="1:10" ht="29.4" thickBot="1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</row>
    <row r="130" spans="1:10" ht="15" thickBot="1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</row>
    <row r="131" spans="1:10" ht="29.4" thickBot="1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</row>
    <row r="132" spans="1:10" ht="29.4" thickBot="1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</row>
    <row r="133" spans="1:10" ht="15" thickBot="1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</row>
    <row r="134" spans="1:10" ht="15" thickBot="1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</row>
    <row r="135" spans="1:10" ht="15" thickBot="1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3"/>
      <c r="I135" s="3">
        <v>268.45999999999998</v>
      </c>
      <c r="J135" s="3">
        <v>199.19</v>
      </c>
    </row>
    <row r="136" spans="1:10" ht="15" thickBot="1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</row>
    <row r="137" spans="1:10" ht="15" thickBot="1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</row>
    <row r="138" spans="1:10" ht="15" thickBot="1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</row>
    <row r="139" spans="1:10" ht="15" thickBot="1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</row>
    <row r="140" spans="1:10" ht="15" thickBot="1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</row>
    <row r="141" spans="1:10" ht="15" thickBot="1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</row>
    <row r="142" spans="1:10" ht="29.4" thickBot="1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</row>
    <row r="143" spans="1:10" ht="15" thickBot="1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</row>
    <row r="144" spans="1:10" ht="29.4" thickBot="1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</row>
    <row r="145" spans="1:10" ht="15" thickBot="1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</row>
    <row r="146" spans="1:10" ht="29.4" thickBot="1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</row>
    <row r="147" spans="1:10" ht="29.4" thickBot="1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</row>
    <row r="148" spans="1:10" ht="29.4" thickBot="1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</row>
    <row r="149" spans="1:10" ht="29.4" thickBot="1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</row>
    <row r="150" spans="1:10" ht="15" thickBot="1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</row>
    <row r="151" spans="1:10" ht="15" thickBot="1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</row>
    <row r="152" spans="1:10" ht="15" thickBot="1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</row>
    <row r="153" spans="1:10" ht="15" thickBot="1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</row>
    <row r="154" spans="1:10" ht="15" thickBot="1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</row>
    <row r="155" spans="1:10" ht="15" thickBot="1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</row>
    <row r="156" spans="1:10" ht="15" thickBot="1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</row>
    <row r="157" spans="1:10" ht="15" thickBot="1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</row>
    <row r="158" spans="1:10" ht="15" thickBot="1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</row>
    <row r="159" spans="1:10" ht="15" thickBot="1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</row>
    <row r="160" spans="1:10" ht="15" thickBot="1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</row>
    <row r="161" spans="1:10" ht="15" thickBot="1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3"/>
      <c r="J161" s="3">
        <v>220.75</v>
      </c>
    </row>
    <row r="162" spans="1:10" ht="29.4" thickBot="1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</row>
    <row r="163" spans="1:10" ht="15" thickBot="1">
      <c r="A163" s="3" t="s">
        <v>187</v>
      </c>
      <c r="B163" s="3" t="s">
        <v>22</v>
      </c>
      <c r="C163" s="3" t="s">
        <v>31</v>
      </c>
      <c r="D163" s="3"/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</row>
    <row r="164" spans="1:10" ht="15" thickBot="1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</row>
    <row r="165" spans="1:10" ht="15" thickBot="1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</row>
    <row r="166" spans="1:10" ht="15" thickBot="1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</row>
    <row r="167" spans="1:10" ht="29.4" thickBot="1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</row>
    <row r="168" spans="1:10" ht="29.4" thickBot="1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</row>
    <row r="169" spans="1:10" ht="29.4" thickBot="1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</row>
    <row r="170" spans="1:10" ht="15" thickBot="1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</row>
    <row r="171" spans="1:10" ht="15" thickBot="1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</row>
    <row r="172" spans="1:10" ht="29.4" thickBot="1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</row>
    <row r="173" spans="1:10" ht="15" thickBot="1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</row>
    <row r="174" spans="1:10" ht="29.4" thickBot="1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</row>
    <row r="175" spans="1:10" ht="15" thickBot="1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</row>
    <row r="176" spans="1:10" ht="15" thickBot="1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</row>
    <row r="177" spans="1:10" ht="29.4" thickBot="1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</row>
    <row r="178" spans="1:10" ht="15" thickBot="1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</row>
    <row r="179" spans="1:10" ht="29.4" thickBot="1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</row>
    <row r="180" spans="1:10" ht="15" thickBot="1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</row>
    <row r="181" spans="1:10" ht="29.4" thickBot="1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</row>
    <row r="182" spans="1:10" ht="15" thickBot="1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</row>
    <row r="183" spans="1:10" ht="15" thickBot="1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</row>
    <row r="184" spans="1:10" ht="15" thickBot="1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</row>
    <row r="185" spans="1:10" ht="15" thickBot="1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</row>
    <row r="186" spans="1:10" ht="29.4" thickBot="1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</row>
    <row r="187" spans="1:10" ht="15" thickBot="1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</row>
    <row r="188" spans="1:10" ht="15" thickBot="1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</row>
    <row r="189" spans="1:10" ht="15" thickBot="1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</row>
    <row r="190" spans="1:10" ht="29.4" thickBot="1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</row>
    <row r="191" spans="1:10" ht="15" thickBot="1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</row>
    <row r="192" spans="1:10" ht="15" thickBot="1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</row>
    <row r="193" spans="1:10" ht="15" thickBot="1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</row>
    <row r="194" spans="1:10" ht="29.4" thickBot="1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</row>
    <row r="195" spans="1:10" ht="15" thickBot="1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</row>
    <row r="196" spans="1:10" ht="29.4" thickBot="1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</row>
    <row r="197" spans="1:10" ht="15" thickBot="1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</row>
    <row r="198" spans="1:10" ht="15" thickBot="1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</row>
    <row r="199" spans="1:10" ht="15" thickBot="1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</row>
    <row r="200" spans="1:10" ht="29.4" thickBot="1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</row>
    <row r="201" spans="1:10" ht="29.4" thickBot="1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</row>
    <row r="202" spans="1:10" ht="15" thickBot="1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</row>
    <row r="203" spans="1:10" ht="15" thickBot="1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</row>
    <row r="204" spans="1:10" ht="15" thickBot="1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3"/>
      <c r="I204" s="3">
        <v>407.81</v>
      </c>
      <c r="J204" s="3">
        <v>351.95</v>
      </c>
    </row>
    <row r="205" spans="1:10" ht="29.4" thickBot="1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</row>
    <row r="206" spans="1:10" ht="29.4" thickBot="1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</row>
    <row r="207" spans="1:10" ht="29.4" thickBot="1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</row>
    <row r="208" spans="1:10" ht="29.4" thickBot="1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</row>
    <row r="209" spans="1:10" ht="29.4" thickBot="1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</row>
    <row r="210" spans="1:10" ht="15" thickBot="1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</row>
    <row r="211" spans="1:10" ht="15" thickBot="1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</row>
    <row r="212" spans="1:10" ht="15" thickBot="1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</row>
    <row r="213" spans="1:10" ht="29.4" thickBot="1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</row>
    <row r="214" spans="1:10" ht="15" thickBot="1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</row>
    <row r="215" spans="1:10" ht="15" thickBot="1">
      <c r="A215" s="3" t="s">
        <v>239</v>
      </c>
      <c r="B215" s="3" t="s">
        <v>11</v>
      </c>
      <c r="C215" s="3" t="s">
        <v>50</v>
      </c>
      <c r="D215" s="3"/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</row>
    <row r="216" spans="1:10" ht="15" thickBot="1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</row>
    <row r="217" spans="1:10" ht="29.4" thickBot="1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</row>
    <row r="218" spans="1:10" ht="15" thickBot="1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</row>
    <row r="219" spans="1:10" ht="29.4" thickBot="1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</row>
    <row r="220" spans="1:10" ht="29.4" thickBot="1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</row>
    <row r="221" spans="1:10" ht="15" thickBot="1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</row>
    <row r="222" spans="1:10" ht="29.4" thickBot="1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</row>
    <row r="223" spans="1:10" ht="29.4" thickBot="1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</row>
    <row r="224" spans="1:10" ht="15" thickBot="1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</row>
    <row r="225" spans="1:10" ht="15" thickBot="1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</row>
    <row r="226" spans="1:10" ht="29.4" thickBot="1">
      <c r="A226" s="3" t="s">
        <v>250</v>
      </c>
      <c r="B226" s="3"/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</row>
    <row r="227" spans="1:10" ht="29.4" thickBot="1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</row>
    <row r="228" spans="1:10" ht="15" thickBot="1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</row>
    <row r="229" spans="1:10" ht="29.4" thickBot="1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</row>
    <row r="230" spans="1:10" ht="15" thickBot="1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</row>
    <row r="231" spans="1:10" ht="15" thickBot="1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</row>
    <row r="232" spans="1:10" ht="15" thickBot="1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3"/>
      <c r="I232" s="3">
        <v>49.37</v>
      </c>
      <c r="J232" s="3">
        <v>39.32</v>
      </c>
    </row>
    <row r="233" spans="1:10" ht="15" thickBot="1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</row>
    <row r="234" spans="1:10" ht="29.4" thickBot="1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</row>
    <row r="235" spans="1:10" ht="15" thickBot="1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</row>
    <row r="236" spans="1:10" ht="15" thickBot="1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</row>
    <row r="237" spans="1:10" ht="15" thickBot="1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</row>
    <row r="238" spans="1:10" ht="15" thickBot="1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</row>
    <row r="239" spans="1:10" ht="15" thickBot="1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</row>
    <row r="240" spans="1:10" ht="15" thickBot="1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</row>
    <row r="241" spans="1:10" ht="29.4" thickBot="1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</row>
    <row r="242" spans="1:10" ht="15" thickBot="1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</row>
    <row r="243" spans="1:10" ht="15" thickBot="1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</row>
    <row r="244" spans="1:10" ht="15" thickBot="1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</row>
    <row r="245" spans="1:10" ht="15" thickBot="1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</row>
    <row r="246" spans="1:10" ht="29.4" thickBot="1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</row>
    <row r="247" spans="1:10" ht="29.4" thickBot="1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</row>
    <row r="248" spans="1:10" ht="15" thickBot="1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</row>
    <row r="249" spans="1:10" ht="15" thickBot="1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</row>
    <row r="250" spans="1:10" ht="29.4" thickBot="1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</row>
    <row r="251" spans="1:10" ht="29.4" thickBot="1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</row>
    <row r="252" spans="1:10" ht="15" thickBot="1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</row>
    <row r="253" spans="1:10" ht="15" thickBot="1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</row>
    <row r="254" spans="1:10" ht="29.4" thickBot="1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</row>
    <row r="255" spans="1:10" ht="29.4" thickBot="1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3"/>
      <c r="I255" s="3">
        <v>298.8</v>
      </c>
      <c r="J255" s="3">
        <v>333.41</v>
      </c>
    </row>
    <row r="256" spans="1:10" ht="29.4" thickBot="1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</row>
    <row r="257" spans="1:10" ht="15" thickBot="1">
      <c r="A257" s="3" t="s">
        <v>281</v>
      </c>
      <c r="B257" s="3" t="s">
        <v>17</v>
      </c>
      <c r="C257" s="3" t="s">
        <v>12</v>
      </c>
      <c r="D257" s="3"/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</row>
    <row r="258" spans="1:10" ht="29.4" thickBot="1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</row>
    <row r="259" spans="1:10" ht="15" thickBot="1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</row>
    <row r="260" spans="1:10" ht="15" thickBot="1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</row>
    <row r="261" spans="1:10" ht="15" thickBot="1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3"/>
      <c r="J261" s="3">
        <v>337.1</v>
      </c>
    </row>
    <row r="262" spans="1:10" ht="29.4" thickBot="1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</row>
    <row r="263" spans="1:10" ht="29.4" thickBot="1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</row>
    <row r="264" spans="1:10" ht="15" thickBot="1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</row>
    <row r="265" spans="1:10" ht="15" thickBot="1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3"/>
      <c r="J265" s="3">
        <v>155.38</v>
      </c>
    </row>
    <row r="266" spans="1:10" ht="15" thickBot="1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</row>
    <row r="267" spans="1:10" ht="29.4" thickBot="1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</row>
    <row r="268" spans="1:10" ht="15" thickBot="1">
      <c r="A268" s="3" t="s">
        <v>292</v>
      </c>
      <c r="B268" s="3" t="s">
        <v>22</v>
      </c>
      <c r="C268" s="3" t="s">
        <v>18</v>
      </c>
      <c r="D268" s="3"/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</row>
    <row r="269" spans="1:10" ht="15" thickBot="1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</row>
    <row r="270" spans="1:10" ht="15" thickBot="1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</row>
    <row r="271" spans="1:10" ht="29.4" thickBot="1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</row>
    <row r="272" spans="1:10" ht="29.4" thickBot="1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</row>
    <row r="273" spans="1:10" ht="15" thickBot="1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</row>
    <row r="274" spans="1:10" ht="15" thickBot="1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</row>
    <row r="275" spans="1:10" ht="15" thickBot="1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</row>
    <row r="276" spans="1:10" ht="15" thickBot="1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</row>
    <row r="277" spans="1:10" ht="15" thickBot="1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</row>
    <row r="278" spans="1:10" ht="29.4" thickBot="1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</row>
    <row r="279" spans="1:10" ht="29.4" thickBot="1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</row>
    <row r="280" spans="1:10" ht="29.4" thickBot="1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</row>
    <row r="281" spans="1:10" ht="29.4" thickBot="1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</row>
    <row r="282" spans="1:10" ht="29.4" thickBot="1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</row>
    <row r="283" spans="1:10" ht="29.4" thickBot="1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</row>
    <row r="284" spans="1:10" ht="15" thickBot="1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</row>
    <row r="285" spans="1:10" ht="15" thickBot="1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</row>
    <row r="286" spans="1:10" ht="29.4" thickBot="1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</row>
    <row r="287" spans="1:10" ht="15" thickBot="1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</row>
    <row r="288" spans="1:10" ht="15" thickBot="1">
      <c r="A288" s="3" t="s">
        <v>312</v>
      </c>
      <c r="B288" s="3" t="s">
        <v>11</v>
      </c>
      <c r="C288" s="3" t="s">
        <v>12</v>
      </c>
      <c r="D288" s="3"/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</row>
    <row r="289" spans="1:10" ht="29.4" thickBot="1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</row>
    <row r="290" spans="1:10" ht="15" thickBot="1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</row>
    <row r="291" spans="1:10" ht="15" thickBot="1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</row>
    <row r="292" spans="1:10" ht="15" thickBot="1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3"/>
      <c r="J292" s="3">
        <v>278.77999999999997</v>
      </c>
    </row>
    <row r="293" spans="1:10" ht="15" thickBot="1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3"/>
      <c r="I293" s="3">
        <v>173.84</v>
      </c>
      <c r="J293" s="3">
        <v>298.88</v>
      </c>
    </row>
    <row r="294" spans="1:10" ht="15" thickBot="1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</row>
    <row r="295" spans="1:10" ht="15" thickBot="1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</row>
    <row r="296" spans="1:10" ht="29.4" thickBot="1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</row>
    <row r="297" spans="1:10" ht="15" thickBot="1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</row>
    <row r="298" spans="1:10" ht="29.4" thickBot="1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3"/>
      <c r="I298" s="3">
        <v>387.45</v>
      </c>
      <c r="J298" s="3">
        <v>150.63999999999999</v>
      </c>
    </row>
    <row r="299" spans="1:10" ht="15" thickBot="1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</row>
    <row r="300" spans="1:10" ht="15" thickBot="1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</row>
    <row r="301" spans="1:10" ht="15" thickBot="1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</row>
    <row r="302" spans="1:10" ht="15" thickBot="1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</row>
    <row r="303" spans="1:10" ht="29.4" thickBot="1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</row>
    <row r="304" spans="1:10" ht="15" thickBot="1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</row>
    <row r="305" spans="1:10" ht="29.4" thickBot="1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</row>
    <row r="306" spans="1:10" ht="15" thickBot="1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</row>
    <row r="307" spans="1:10" ht="15" thickBot="1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</row>
    <row r="308" spans="1:10" ht="15" thickBot="1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</row>
    <row r="309" spans="1:10" ht="15" thickBot="1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</row>
    <row r="310" spans="1:10" ht="15" thickBot="1">
      <c r="A310" s="3" t="s">
        <v>334</v>
      </c>
      <c r="B310" s="3" t="s">
        <v>22</v>
      </c>
      <c r="C310" s="3" t="s">
        <v>12</v>
      </c>
      <c r="D310" s="3"/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</row>
    <row r="311" spans="1:10" ht="15" thickBot="1">
      <c r="A311" s="3" t="s">
        <v>335</v>
      </c>
      <c r="B311" s="3" t="s">
        <v>17</v>
      </c>
      <c r="C311" s="3" t="s">
        <v>31</v>
      </c>
      <c r="D311" s="3"/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</row>
    <row r="312" spans="1:10" ht="15" thickBot="1">
      <c r="A312" s="3" t="s">
        <v>336</v>
      </c>
      <c r="B312" s="3" t="s">
        <v>48</v>
      </c>
      <c r="C312" s="3" t="s">
        <v>50</v>
      </c>
      <c r="D312" s="3"/>
      <c r="E312" s="3" t="s">
        <v>14</v>
      </c>
      <c r="F312" s="3" t="s">
        <v>28</v>
      </c>
      <c r="G312" s="4">
        <v>45234</v>
      </c>
      <c r="H312" s="3">
        <v>157</v>
      </c>
      <c r="I312" s="3"/>
      <c r="J312" s="3">
        <v>274.99</v>
      </c>
    </row>
    <row r="313" spans="1:10" ht="15" thickBot="1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</row>
    <row r="314" spans="1:10" ht="29.4" thickBot="1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</row>
    <row r="315" spans="1:10" ht="15" thickBot="1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</row>
    <row r="316" spans="1:10" ht="29.4" thickBot="1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</row>
    <row r="317" spans="1:10" ht="15" thickBot="1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</row>
    <row r="318" spans="1:10" ht="15" thickBot="1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3"/>
      <c r="I318" s="3">
        <v>192.35</v>
      </c>
      <c r="J318" s="3">
        <v>227.09</v>
      </c>
    </row>
    <row r="319" spans="1:10" ht="29.4" thickBot="1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</row>
    <row r="320" spans="1:10" ht="15" thickBot="1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</row>
    <row r="321" spans="1:10" ht="15" thickBot="1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3"/>
      <c r="I321" s="3">
        <v>225.94</v>
      </c>
      <c r="J321" s="3">
        <v>280.7</v>
      </c>
    </row>
    <row r="322" spans="1:10" ht="29.4" thickBot="1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</row>
    <row r="323" spans="1:10" ht="15" thickBot="1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</row>
    <row r="324" spans="1:10" ht="15" thickBot="1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</row>
    <row r="325" spans="1:10" ht="29.4" thickBot="1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</row>
    <row r="326" spans="1:10" ht="15" thickBot="1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</row>
    <row r="327" spans="1:10" ht="15" thickBot="1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</row>
    <row r="328" spans="1:10" ht="15" thickBot="1">
      <c r="A328" s="3" t="s">
        <v>352</v>
      </c>
      <c r="B328" s="3" t="s">
        <v>48</v>
      </c>
      <c r="C328" s="3" t="s">
        <v>18</v>
      </c>
      <c r="D328" s="3"/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</row>
    <row r="329" spans="1:10" ht="29.4" thickBot="1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</row>
    <row r="330" spans="1:10" ht="15" thickBot="1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</row>
    <row r="331" spans="1:10" ht="15" thickBot="1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</row>
    <row r="332" spans="1:10" ht="29.4" thickBot="1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3"/>
      <c r="I332" s="3">
        <v>5.61</v>
      </c>
      <c r="J332" s="3">
        <v>193.4</v>
      </c>
    </row>
    <row r="333" spans="1:10" ht="29.4" thickBot="1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</row>
    <row r="334" spans="1:10" ht="29.4" thickBot="1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</row>
    <row r="335" spans="1:10" ht="29.4" thickBot="1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</row>
    <row r="336" spans="1:10" ht="29.4" thickBot="1">
      <c r="A336" s="3" t="s">
        <v>360</v>
      </c>
      <c r="B336" s="3"/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</row>
    <row r="337" spans="1:10" ht="15" thickBot="1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</row>
    <row r="338" spans="1:10" ht="15" thickBot="1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</row>
    <row r="339" spans="1:10" ht="29.4" thickBot="1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</row>
    <row r="340" spans="1:10" ht="29.4" thickBot="1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</row>
    <row r="341" spans="1:10" ht="15" thickBot="1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</row>
    <row r="342" spans="1:10" ht="15" thickBot="1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</row>
    <row r="343" spans="1:10" ht="15" thickBot="1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</row>
    <row r="344" spans="1:10" ht="29.4" thickBot="1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</row>
    <row r="345" spans="1:10" ht="15" thickBot="1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</row>
    <row r="346" spans="1:10" ht="29.4" thickBot="1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</row>
    <row r="347" spans="1:10" ht="15" thickBot="1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</row>
    <row r="348" spans="1:10" ht="15" thickBot="1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</row>
    <row r="349" spans="1:10" ht="15" thickBot="1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</row>
    <row r="350" spans="1:10" ht="15" thickBot="1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</row>
    <row r="351" spans="1:10" ht="29.4" thickBot="1">
      <c r="A351" s="3" t="s">
        <v>375</v>
      </c>
      <c r="B351" s="3"/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</row>
    <row r="352" spans="1:10" ht="15" thickBot="1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</row>
    <row r="353" spans="1:10" ht="29.4" thickBot="1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</row>
    <row r="354" spans="1:10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 s="5">
        <v>425</v>
      </c>
      <c r="I354" s="5">
        <v>174.13</v>
      </c>
      <c r="J354" s="5">
        <v>315.27999999999997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037-723F-422A-90EE-528E0D642ADB}">
  <dimension ref="A1:G352"/>
  <sheetViews>
    <sheetView workbookViewId="0">
      <selection activeCell="G2" sqref="G2:G3"/>
    </sheetView>
  </sheetViews>
  <sheetFormatPr defaultRowHeight="14.4"/>
  <cols>
    <col min="1" max="1" width="12" bestFit="1" customWidth="1"/>
    <col min="2" max="2" width="11.33203125" customWidth="1"/>
    <col min="3" max="3" width="11" customWidth="1"/>
    <col min="4" max="4" width="10.5546875" customWidth="1"/>
    <col min="5" max="5" width="10.6640625" bestFit="1" customWidth="1"/>
    <col min="7" max="7" width="12" bestFit="1" customWidth="1"/>
  </cols>
  <sheetData>
    <row r="1" spans="1:7" ht="15" thickBot="1">
      <c r="A1" s="27" t="s">
        <v>406</v>
      </c>
    </row>
    <row r="2" spans="1:7" ht="15" thickBot="1">
      <c r="A2" s="23" t="s">
        <v>1</v>
      </c>
      <c r="B2" s="20" t="s">
        <v>7</v>
      </c>
      <c r="C2" s="20" t="s">
        <v>8</v>
      </c>
      <c r="D2" s="20" t="s">
        <v>9</v>
      </c>
      <c r="E2" s="22" t="s">
        <v>405</v>
      </c>
      <c r="G2" s="26" t="s">
        <v>406</v>
      </c>
    </row>
    <row r="3" spans="1:7" ht="15" thickBot="1">
      <c r="A3" s="24" t="s">
        <v>11</v>
      </c>
      <c r="B3" s="21">
        <v>235</v>
      </c>
      <c r="C3" s="21">
        <v>152.91999999999999</v>
      </c>
      <c r="D3" s="21">
        <v>153.6</v>
      </c>
      <c r="E3" s="11">
        <f>(C3-D3)*B3</f>
        <v>-159.8000000000016</v>
      </c>
      <c r="G3" s="26">
        <f>AVERAGEIF(Table9[Region],"East",Table9[Profit])</f>
        <v>12298.258461538459</v>
      </c>
    </row>
    <row r="4" spans="1:7" ht="15" thickBot="1">
      <c r="A4" s="25" t="s">
        <v>17</v>
      </c>
      <c r="B4" s="12">
        <v>341</v>
      </c>
      <c r="C4" s="12">
        <v>467.92</v>
      </c>
      <c r="D4" s="12">
        <v>139.84</v>
      </c>
      <c r="E4" s="11">
        <f t="shared" ref="E4:E67" si="0">(C4-D4)*B4</f>
        <v>111875.28000000001</v>
      </c>
    </row>
    <row r="5" spans="1:7" ht="15" thickBot="1">
      <c r="A5" s="24" t="s">
        <v>22</v>
      </c>
      <c r="B5" s="21">
        <v>179</v>
      </c>
      <c r="C5" s="21">
        <v>473.94</v>
      </c>
      <c r="D5" s="21">
        <v>97.14</v>
      </c>
      <c r="E5" s="11">
        <f t="shared" si="0"/>
        <v>67447.199999999997</v>
      </c>
    </row>
    <row r="6" spans="1:7" ht="15" thickBot="1">
      <c r="A6" s="25" t="s">
        <v>11</v>
      </c>
      <c r="B6" s="12">
        <v>18</v>
      </c>
      <c r="C6" s="12">
        <v>314.52999999999997</v>
      </c>
      <c r="D6" s="12">
        <v>204.87</v>
      </c>
      <c r="E6" s="11">
        <f t="shared" si="0"/>
        <v>1973.8799999999994</v>
      </c>
    </row>
    <row r="7" spans="1:7" ht="15" thickBot="1">
      <c r="A7" s="24" t="s">
        <v>11</v>
      </c>
      <c r="B7" s="21">
        <v>472</v>
      </c>
      <c r="C7" s="21">
        <v>392.79</v>
      </c>
      <c r="D7" s="21">
        <v>330.46</v>
      </c>
      <c r="E7" s="11">
        <f t="shared" si="0"/>
        <v>29419.76000000002</v>
      </c>
    </row>
    <row r="8" spans="1:7" ht="15" thickBot="1">
      <c r="A8" s="25" t="s">
        <v>17</v>
      </c>
      <c r="B8" s="12">
        <v>49</v>
      </c>
      <c r="C8" s="12">
        <v>308.07</v>
      </c>
      <c r="D8" s="12">
        <v>113.32</v>
      </c>
      <c r="E8" s="11">
        <f t="shared" si="0"/>
        <v>9542.75</v>
      </c>
    </row>
    <row r="9" spans="1:7" ht="15" thickBot="1">
      <c r="A9" s="24" t="s">
        <v>22</v>
      </c>
      <c r="B9" s="21">
        <v>34</v>
      </c>
      <c r="C9" s="21">
        <v>244.78</v>
      </c>
      <c r="D9" s="21">
        <v>377.07</v>
      </c>
      <c r="E9" s="11">
        <f t="shared" si="0"/>
        <v>-4497.8599999999997</v>
      </c>
    </row>
    <row r="10" spans="1:7" ht="15" thickBot="1">
      <c r="A10" s="25" t="s">
        <v>22</v>
      </c>
      <c r="B10" s="12">
        <v>270</v>
      </c>
      <c r="C10" s="12">
        <v>332.11</v>
      </c>
      <c r="D10" s="12">
        <v>349.59</v>
      </c>
      <c r="E10" s="11">
        <f t="shared" si="0"/>
        <v>-4719.5999999999894</v>
      </c>
    </row>
    <row r="11" spans="1:7" ht="15" thickBot="1">
      <c r="A11" s="24" t="s">
        <v>11</v>
      </c>
      <c r="B11" s="21">
        <v>404</v>
      </c>
      <c r="C11" s="21">
        <v>278.74</v>
      </c>
      <c r="D11" s="21">
        <v>66.38</v>
      </c>
      <c r="E11" s="11">
        <f t="shared" si="0"/>
        <v>85793.44</v>
      </c>
    </row>
    <row r="12" spans="1:7" ht="15" thickBot="1">
      <c r="A12" s="25"/>
      <c r="B12" s="12">
        <v>452</v>
      </c>
      <c r="C12" s="12">
        <v>300.75</v>
      </c>
      <c r="D12" s="12">
        <v>314.94</v>
      </c>
      <c r="E12" s="11">
        <f t="shared" si="0"/>
        <v>-6413.8799999999992</v>
      </c>
    </row>
    <row r="13" spans="1:7" ht="15" thickBot="1">
      <c r="A13" s="24" t="s">
        <v>11</v>
      </c>
      <c r="B13" s="21">
        <v>235</v>
      </c>
      <c r="C13" s="21">
        <v>393</v>
      </c>
      <c r="D13" s="21">
        <v>230.69</v>
      </c>
      <c r="E13" s="11">
        <f t="shared" si="0"/>
        <v>38142.85</v>
      </c>
    </row>
    <row r="14" spans="1:7" ht="15" thickBot="1">
      <c r="A14" s="25" t="s">
        <v>11</v>
      </c>
      <c r="B14" s="12">
        <v>481</v>
      </c>
      <c r="C14" s="12">
        <v>243.05</v>
      </c>
      <c r="D14" s="12">
        <v>227.5</v>
      </c>
      <c r="E14" s="11">
        <f t="shared" si="0"/>
        <v>7479.5500000000056</v>
      </c>
    </row>
    <row r="15" spans="1:7" ht="15" thickBot="1">
      <c r="A15" s="24" t="s">
        <v>11</v>
      </c>
      <c r="B15" s="21">
        <v>133</v>
      </c>
      <c r="C15" s="21">
        <v>25.17</v>
      </c>
      <c r="D15" s="21">
        <v>157.63999999999999</v>
      </c>
      <c r="E15" s="11">
        <f t="shared" si="0"/>
        <v>-17618.509999999995</v>
      </c>
    </row>
    <row r="16" spans="1:7" ht="15" thickBot="1">
      <c r="A16" s="25" t="s">
        <v>11</v>
      </c>
      <c r="B16" s="12">
        <v>472</v>
      </c>
      <c r="C16" s="12">
        <v>86.18</v>
      </c>
      <c r="D16" s="12">
        <v>201.46</v>
      </c>
      <c r="E16" s="11">
        <f t="shared" si="0"/>
        <v>-54412.160000000003</v>
      </c>
    </row>
    <row r="17" spans="1:5" ht="15" thickBot="1">
      <c r="A17" s="24" t="s">
        <v>17</v>
      </c>
      <c r="B17" s="21">
        <v>47</v>
      </c>
      <c r="C17" s="21">
        <v>222.11</v>
      </c>
      <c r="D17" s="21">
        <v>160.08000000000001</v>
      </c>
      <c r="E17" s="11">
        <f t="shared" si="0"/>
        <v>2915.41</v>
      </c>
    </row>
    <row r="18" spans="1:5" ht="15" thickBot="1">
      <c r="A18" s="25" t="s">
        <v>22</v>
      </c>
      <c r="B18" s="12">
        <v>337</v>
      </c>
      <c r="C18" s="12">
        <v>363.79</v>
      </c>
      <c r="D18" s="12">
        <v>216.81</v>
      </c>
      <c r="E18" s="11">
        <f t="shared" si="0"/>
        <v>49532.260000000009</v>
      </c>
    </row>
    <row r="19" spans="1:5" ht="15" thickBot="1">
      <c r="A19" s="24" t="s">
        <v>17</v>
      </c>
      <c r="B19" s="21">
        <v>260</v>
      </c>
      <c r="C19" s="21">
        <v>298.67</v>
      </c>
      <c r="D19" s="21">
        <v>251.92</v>
      </c>
      <c r="E19" s="11">
        <f t="shared" si="0"/>
        <v>12155.000000000007</v>
      </c>
    </row>
    <row r="20" spans="1:5" ht="15" thickBot="1">
      <c r="A20" s="25"/>
      <c r="B20" s="12">
        <v>398</v>
      </c>
      <c r="C20" s="12">
        <v>326.89999999999998</v>
      </c>
      <c r="D20" s="12">
        <v>270.37</v>
      </c>
      <c r="E20" s="11">
        <f t="shared" si="0"/>
        <v>22498.939999999988</v>
      </c>
    </row>
    <row r="21" spans="1:5" ht="15" thickBot="1">
      <c r="A21" s="24" t="s">
        <v>17</v>
      </c>
      <c r="B21" s="21">
        <v>185</v>
      </c>
      <c r="C21" s="21">
        <v>242.24</v>
      </c>
      <c r="D21" s="21">
        <v>213.93</v>
      </c>
      <c r="E21" s="11">
        <f t="shared" si="0"/>
        <v>5237.3500000000004</v>
      </c>
    </row>
    <row r="22" spans="1:5" ht="15" thickBot="1">
      <c r="A22" s="25" t="s">
        <v>11</v>
      </c>
      <c r="B22" s="12">
        <v>99</v>
      </c>
      <c r="C22" s="12">
        <v>309.79000000000002</v>
      </c>
      <c r="D22" s="12">
        <v>289.13</v>
      </c>
      <c r="E22" s="11">
        <f t="shared" si="0"/>
        <v>2045.3400000000024</v>
      </c>
    </row>
    <row r="23" spans="1:5" ht="15" thickBot="1">
      <c r="A23" s="24" t="s">
        <v>48</v>
      </c>
      <c r="B23" s="21">
        <v>411</v>
      </c>
      <c r="C23" s="21">
        <v>167.86</v>
      </c>
      <c r="D23" s="21">
        <v>58.23</v>
      </c>
      <c r="E23" s="11">
        <f t="shared" si="0"/>
        <v>45057.930000000008</v>
      </c>
    </row>
    <row r="24" spans="1:5" ht="15" thickBot="1">
      <c r="A24" s="25" t="s">
        <v>22</v>
      </c>
      <c r="B24" s="12">
        <v>463</v>
      </c>
      <c r="C24" s="12">
        <v>237.74</v>
      </c>
      <c r="D24" s="12">
        <v>86.37</v>
      </c>
      <c r="E24" s="11">
        <f t="shared" si="0"/>
        <v>70084.31</v>
      </c>
    </row>
    <row r="25" spans="1:5" ht="15" thickBot="1">
      <c r="A25" s="24" t="s">
        <v>48</v>
      </c>
      <c r="B25" s="21">
        <v>46</v>
      </c>
      <c r="C25" s="21">
        <v>373.42</v>
      </c>
      <c r="D25" s="21">
        <v>327.86</v>
      </c>
      <c r="E25" s="11">
        <f t="shared" si="0"/>
        <v>2095.7600000000002</v>
      </c>
    </row>
    <row r="26" spans="1:5" ht="15" thickBot="1">
      <c r="A26" s="25" t="s">
        <v>17</v>
      </c>
      <c r="B26" s="12">
        <v>325</v>
      </c>
      <c r="C26" s="12">
        <v>436.56</v>
      </c>
      <c r="D26" s="12">
        <v>130.37</v>
      </c>
      <c r="E26" s="11">
        <f t="shared" si="0"/>
        <v>99511.75</v>
      </c>
    </row>
    <row r="27" spans="1:5" ht="15" thickBot="1">
      <c r="A27" s="24" t="s">
        <v>17</v>
      </c>
      <c r="B27" s="21">
        <v>185</v>
      </c>
      <c r="C27" s="21">
        <v>219.66</v>
      </c>
      <c r="D27" s="21">
        <v>11.11</v>
      </c>
      <c r="E27" s="11">
        <f t="shared" si="0"/>
        <v>38581.75</v>
      </c>
    </row>
    <row r="28" spans="1:5" ht="15" thickBot="1">
      <c r="A28" s="25" t="s">
        <v>48</v>
      </c>
      <c r="B28" s="12">
        <v>470</v>
      </c>
      <c r="C28" s="12">
        <v>26.61</v>
      </c>
      <c r="D28" s="12">
        <v>63.21</v>
      </c>
      <c r="E28" s="11">
        <f t="shared" si="0"/>
        <v>-17202</v>
      </c>
    </row>
    <row r="29" spans="1:5" ht="15" thickBot="1">
      <c r="A29" s="24" t="s">
        <v>48</v>
      </c>
      <c r="B29" s="21">
        <v>293</v>
      </c>
      <c r="C29" s="21">
        <v>85.03</v>
      </c>
      <c r="D29" s="21">
        <v>91</v>
      </c>
      <c r="E29" s="11">
        <f t="shared" si="0"/>
        <v>-1749.2099999999996</v>
      </c>
    </row>
    <row r="30" spans="1:5" ht="15" thickBot="1">
      <c r="A30" s="25" t="s">
        <v>48</v>
      </c>
      <c r="B30" s="12">
        <v>462</v>
      </c>
      <c r="C30" s="12"/>
      <c r="D30" s="12">
        <v>383.01</v>
      </c>
      <c r="E30" s="11">
        <f t="shared" si="0"/>
        <v>-176950.62</v>
      </c>
    </row>
    <row r="31" spans="1:5" ht="15" thickBot="1">
      <c r="A31" s="24" t="s">
        <v>17</v>
      </c>
      <c r="B31" s="21">
        <v>470</v>
      </c>
      <c r="C31" s="21">
        <v>328.37</v>
      </c>
      <c r="D31" s="21">
        <v>230.07</v>
      </c>
      <c r="E31" s="11">
        <f t="shared" si="0"/>
        <v>46201.000000000007</v>
      </c>
    </row>
    <row r="32" spans="1:5" ht="15" thickBot="1">
      <c r="A32" s="25" t="s">
        <v>17</v>
      </c>
      <c r="B32" s="12">
        <v>90</v>
      </c>
      <c r="C32" s="12">
        <v>169.5</v>
      </c>
      <c r="D32" s="12">
        <v>373.23</v>
      </c>
      <c r="E32" s="11">
        <f t="shared" si="0"/>
        <v>-18335.7</v>
      </c>
    </row>
    <row r="33" spans="1:5" ht="15" thickBot="1">
      <c r="A33" s="24"/>
      <c r="B33" s="21">
        <v>123</v>
      </c>
      <c r="C33" s="21">
        <v>273.52999999999997</v>
      </c>
      <c r="D33" s="21">
        <v>230.92</v>
      </c>
      <c r="E33" s="11">
        <f t="shared" si="0"/>
        <v>5241.0299999999979</v>
      </c>
    </row>
    <row r="34" spans="1:5" ht="15" thickBot="1">
      <c r="A34" s="25" t="s">
        <v>22</v>
      </c>
      <c r="B34" s="12">
        <v>49</v>
      </c>
      <c r="C34" s="12">
        <v>249.17</v>
      </c>
      <c r="D34" s="12">
        <v>192.78</v>
      </c>
      <c r="E34" s="11">
        <f t="shared" si="0"/>
        <v>2763.1099999999992</v>
      </c>
    </row>
    <row r="35" spans="1:5" ht="15" thickBot="1">
      <c r="A35" s="24" t="s">
        <v>17</v>
      </c>
      <c r="B35" s="21">
        <v>310</v>
      </c>
      <c r="C35" s="21">
        <v>45.36</v>
      </c>
      <c r="D35" s="21">
        <v>126.86</v>
      </c>
      <c r="E35" s="11">
        <f t="shared" si="0"/>
        <v>-25265</v>
      </c>
    </row>
    <row r="36" spans="1:5" ht="15" thickBot="1">
      <c r="A36" s="25" t="s">
        <v>48</v>
      </c>
      <c r="B36" s="12">
        <v>233</v>
      </c>
      <c r="C36" s="12">
        <v>204.61</v>
      </c>
      <c r="D36" s="12">
        <v>243.34</v>
      </c>
      <c r="E36" s="11">
        <f t="shared" si="0"/>
        <v>-9024.0899999999983</v>
      </c>
    </row>
    <row r="37" spans="1:5" ht="15" thickBot="1">
      <c r="A37" s="24" t="s">
        <v>48</v>
      </c>
      <c r="B37" s="21">
        <v>327</v>
      </c>
      <c r="C37" s="21">
        <v>114.18</v>
      </c>
      <c r="D37" s="21">
        <v>57.4</v>
      </c>
      <c r="E37" s="11">
        <f t="shared" si="0"/>
        <v>18567.060000000001</v>
      </c>
    </row>
    <row r="38" spans="1:5" ht="15" thickBot="1">
      <c r="A38" s="25" t="s">
        <v>22</v>
      </c>
      <c r="B38" s="12">
        <v>358</v>
      </c>
      <c r="C38" s="12">
        <v>212.11</v>
      </c>
      <c r="D38" s="12">
        <v>359.51</v>
      </c>
      <c r="E38" s="11">
        <f t="shared" si="0"/>
        <v>-52769.19999999999</v>
      </c>
    </row>
    <row r="39" spans="1:5" ht="15" thickBot="1">
      <c r="A39" s="24" t="s">
        <v>17</v>
      </c>
      <c r="B39" s="21">
        <v>124</v>
      </c>
      <c r="C39" s="21"/>
      <c r="D39" s="21">
        <v>332.07</v>
      </c>
      <c r="E39" s="11">
        <f t="shared" si="0"/>
        <v>-41176.68</v>
      </c>
    </row>
    <row r="40" spans="1:5" ht="15" thickBot="1">
      <c r="A40" s="25" t="s">
        <v>22</v>
      </c>
      <c r="B40" s="12">
        <v>195</v>
      </c>
      <c r="C40" s="12">
        <v>421.02</v>
      </c>
      <c r="D40" s="12">
        <v>128.38</v>
      </c>
      <c r="E40" s="11">
        <f t="shared" si="0"/>
        <v>57064.799999999996</v>
      </c>
    </row>
    <row r="41" spans="1:5" ht="15" thickBot="1">
      <c r="A41" s="24" t="s">
        <v>22</v>
      </c>
      <c r="B41" s="21"/>
      <c r="C41" s="21">
        <v>91.23</v>
      </c>
      <c r="D41" s="21">
        <v>381.21</v>
      </c>
      <c r="E41" s="11">
        <f t="shared" si="0"/>
        <v>0</v>
      </c>
    </row>
    <row r="42" spans="1:5" ht="15" thickBot="1">
      <c r="A42" s="25" t="s">
        <v>11</v>
      </c>
      <c r="B42" s="12">
        <v>65</v>
      </c>
      <c r="C42" s="12">
        <v>480.59</v>
      </c>
      <c r="D42" s="12">
        <v>330.43</v>
      </c>
      <c r="E42" s="11">
        <f t="shared" si="0"/>
        <v>9760.3999999999978</v>
      </c>
    </row>
    <row r="43" spans="1:5" ht="15" thickBot="1">
      <c r="A43" s="24" t="s">
        <v>11</v>
      </c>
      <c r="B43" s="21">
        <v>49</v>
      </c>
      <c r="C43" s="21">
        <v>210.87</v>
      </c>
      <c r="D43" s="21">
        <v>267.19</v>
      </c>
      <c r="E43" s="11">
        <f t="shared" si="0"/>
        <v>-2759.68</v>
      </c>
    </row>
    <row r="44" spans="1:5" ht="15" thickBot="1">
      <c r="A44" s="25" t="s">
        <v>11</v>
      </c>
      <c r="B44" s="12">
        <v>363</v>
      </c>
      <c r="C44" s="12">
        <v>423.89</v>
      </c>
      <c r="D44" s="12">
        <v>50.46</v>
      </c>
      <c r="E44" s="11">
        <f t="shared" si="0"/>
        <v>135555.09</v>
      </c>
    </row>
    <row r="45" spans="1:5" ht="15" thickBot="1">
      <c r="A45" s="24" t="s">
        <v>48</v>
      </c>
      <c r="B45" s="21">
        <v>49</v>
      </c>
      <c r="C45" s="21">
        <v>316.24</v>
      </c>
      <c r="D45" s="21">
        <v>192.34</v>
      </c>
      <c r="E45" s="11">
        <f t="shared" si="0"/>
        <v>6071.1</v>
      </c>
    </row>
    <row r="46" spans="1:5" ht="15" thickBot="1">
      <c r="A46" s="25" t="s">
        <v>17</v>
      </c>
      <c r="B46" s="12">
        <v>356</v>
      </c>
      <c r="C46" s="12">
        <v>369</v>
      </c>
      <c r="D46" s="12">
        <v>203.43</v>
      </c>
      <c r="E46" s="11">
        <f t="shared" si="0"/>
        <v>58942.92</v>
      </c>
    </row>
    <row r="47" spans="1:5" ht="15" thickBot="1">
      <c r="A47" s="24" t="s">
        <v>17</v>
      </c>
      <c r="B47" s="21">
        <v>470</v>
      </c>
      <c r="C47" s="21"/>
      <c r="D47" s="21">
        <v>94.56</v>
      </c>
      <c r="E47" s="11">
        <f t="shared" si="0"/>
        <v>-44443.200000000004</v>
      </c>
    </row>
    <row r="48" spans="1:5" ht="15" thickBot="1">
      <c r="A48" s="25" t="s">
        <v>17</v>
      </c>
      <c r="B48" s="12">
        <v>246</v>
      </c>
      <c r="C48" s="12">
        <v>254.9</v>
      </c>
      <c r="D48" s="12">
        <v>33.83</v>
      </c>
      <c r="E48" s="11">
        <f t="shared" si="0"/>
        <v>54383.22</v>
      </c>
    </row>
    <row r="49" spans="1:5" ht="15" thickBot="1">
      <c r="A49" s="24" t="s">
        <v>17</v>
      </c>
      <c r="B49" s="21">
        <v>298</v>
      </c>
      <c r="C49" s="21">
        <v>273.93</v>
      </c>
      <c r="D49" s="21">
        <v>311.14</v>
      </c>
      <c r="E49" s="11">
        <f t="shared" si="0"/>
        <v>-11088.579999999994</v>
      </c>
    </row>
    <row r="50" spans="1:5" ht="15" thickBot="1">
      <c r="A50" s="25" t="s">
        <v>11</v>
      </c>
      <c r="B50" s="12">
        <v>271</v>
      </c>
      <c r="C50" s="12">
        <v>259.43</v>
      </c>
      <c r="D50" s="12">
        <v>50.57</v>
      </c>
      <c r="E50" s="11">
        <f t="shared" si="0"/>
        <v>56601.060000000005</v>
      </c>
    </row>
    <row r="51" spans="1:5" ht="15" thickBot="1">
      <c r="A51" s="24" t="s">
        <v>48</v>
      </c>
      <c r="B51" s="21">
        <v>225</v>
      </c>
      <c r="C51" s="21">
        <v>296.08999999999997</v>
      </c>
      <c r="D51" s="21">
        <v>238.53</v>
      </c>
      <c r="E51" s="11">
        <f t="shared" si="0"/>
        <v>12950.999999999995</v>
      </c>
    </row>
    <row r="52" spans="1:5" ht="15" thickBot="1">
      <c r="A52" s="25"/>
      <c r="B52" s="12">
        <v>156</v>
      </c>
      <c r="C52" s="12">
        <v>19.55</v>
      </c>
      <c r="D52" s="12">
        <v>374.71</v>
      </c>
      <c r="E52" s="11">
        <f t="shared" si="0"/>
        <v>-55404.959999999992</v>
      </c>
    </row>
    <row r="53" spans="1:5" ht="15" thickBot="1">
      <c r="A53" s="24" t="s">
        <v>11</v>
      </c>
      <c r="B53" s="21">
        <v>345</v>
      </c>
      <c r="C53" s="21">
        <v>200.78</v>
      </c>
      <c r="D53" s="21">
        <v>350.69</v>
      </c>
      <c r="E53" s="11">
        <f t="shared" si="0"/>
        <v>-51718.95</v>
      </c>
    </row>
    <row r="54" spans="1:5" ht="15" thickBot="1">
      <c r="A54" s="25" t="s">
        <v>48</v>
      </c>
      <c r="B54" s="12">
        <v>177</v>
      </c>
      <c r="C54" s="12">
        <v>305.06</v>
      </c>
      <c r="D54" s="12">
        <v>112.55</v>
      </c>
      <c r="E54" s="11">
        <f t="shared" si="0"/>
        <v>34074.269999999997</v>
      </c>
    </row>
    <row r="55" spans="1:5" ht="15" thickBot="1">
      <c r="A55" s="24" t="s">
        <v>11</v>
      </c>
      <c r="B55" s="21">
        <v>101</v>
      </c>
      <c r="C55" s="21">
        <v>300.87</v>
      </c>
      <c r="D55" s="21">
        <v>340.88</v>
      </c>
      <c r="E55" s="11">
        <f t="shared" si="0"/>
        <v>-4041.0099999999993</v>
      </c>
    </row>
    <row r="56" spans="1:5" ht="15" thickBot="1">
      <c r="A56" s="25" t="s">
        <v>17</v>
      </c>
      <c r="B56" s="12">
        <v>362</v>
      </c>
      <c r="C56" s="12">
        <v>397.51</v>
      </c>
      <c r="D56" s="12">
        <v>2.13</v>
      </c>
      <c r="E56" s="11">
        <f t="shared" si="0"/>
        <v>143127.56</v>
      </c>
    </row>
    <row r="57" spans="1:5" ht="15" thickBot="1">
      <c r="A57" s="24" t="s">
        <v>11</v>
      </c>
      <c r="B57" s="21">
        <v>68</v>
      </c>
      <c r="C57" s="21">
        <v>329.23</v>
      </c>
      <c r="D57" s="21">
        <v>9.0399999999999991</v>
      </c>
      <c r="E57" s="11">
        <f t="shared" si="0"/>
        <v>21772.92</v>
      </c>
    </row>
    <row r="58" spans="1:5" ht="15" thickBot="1">
      <c r="A58" s="25" t="s">
        <v>17</v>
      </c>
      <c r="B58" s="12">
        <v>68</v>
      </c>
      <c r="C58" s="12">
        <v>496.11</v>
      </c>
      <c r="D58" s="12">
        <v>241.82</v>
      </c>
      <c r="E58" s="11">
        <f t="shared" si="0"/>
        <v>17291.72</v>
      </c>
    </row>
    <row r="59" spans="1:5" ht="15" thickBot="1">
      <c r="A59" s="24" t="s">
        <v>17</v>
      </c>
      <c r="B59" s="21">
        <v>313</v>
      </c>
      <c r="C59" s="21">
        <v>145.51</v>
      </c>
      <c r="D59" s="21">
        <v>147.19</v>
      </c>
      <c r="E59" s="11">
        <f t="shared" si="0"/>
        <v>-525.84000000000219</v>
      </c>
    </row>
    <row r="60" spans="1:5" ht="15" thickBot="1">
      <c r="A60" s="25" t="s">
        <v>22</v>
      </c>
      <c r="B60" s="12">
        <v>178</v>
      </c>
      <c r="C60" s="12">
        <v>182.78</v>
      </c>
      <c r="D60" s="12">
        <v>155.81</v>
      </c>
      <c r="E60" s="11">
        <f t="shared" si="0"/>
        <v>4800.66</v>
      </c>
    </row>
    <row r="61" spans="1:5" ht="15" thickBot="1">
      <c r="A61" s="24" t="s">
        <v>11</v>
      </c>
      <c r="B61" s="21">
        <v>278</v>
      </c>
      <c r="C61" s="21">
        <v>195</v>
      </c>
      <c r="D61" s="21">
        <v>226.65</v>
      </c>
      <c r="E61" s="11">
        <f t="shared" si="0"/>
        <v>-8798.7000000000007</v>
      </c>
    </row>
    <row r="62" spans="1:5" ht="15" thickBot="1">
      <c r="A62" s="25" t="s">
        <v>22</v>
      </c>
      <c r="B62" s="12">
        <v>372</v>
      </c>
      <c r="C62" s="12">
        <v>235.58</v>
      </c>
      <c r="D62" s="12">
        <v>78.33</v>
      </c>
      <c r="E62" s="11">
        <f t="shared" si="0"/>
        <v>58497</v>
      </c>
    </row>
    <row r="63" spans="1:5" ht="15" thickBot="1">
      <c r="A63" s="24" t="s">
        <v>11</v>
      </c>
      <c r="B63" s="21">
        <v>54</v>
      </c>
      <c r="C63" s="21">
        <v>418.82</v>
      </c>
      <c r="D63" s="21">
        <v>86.28</v>
      </c>
      <c r="E63" s="11">
        <f t="shared" si="0"/>
        <v>17957.159999999996</v>
      </c>
    </row>
    <row r="64" spans="1:5" ht="15" thickBot="1">
      <c r="A64" s="25" t="s">
        <v>11</v>
      </c>
      <c r="B64" s="12">
        <v>354</v>
      </c>
      <c r="C64" s="12">
        <v>121.72</v>
      </c>
      <c r="D64" s="12">
        <v>194.87</v>
      </c>
      <c r="E64" s="11">
        <f t="shared" si="0"/>
        <v>-25895.100000000002</v>
      </c>
    </row>
    <row r="65" spans="1:5" ht="15" thickBot="1">
      <c r="A65" s="24" t="s">
        <v>22</v>
      </c>
      <c r="B65" s="21">
        <v>190</v>
      </c>
      <c r="C65" s="21">
        <v>389.12</v>
      </c>
      <c r="D65" s="21">
        <v>302.19</v>
      </c>
      <c r="E65" s="11">
        <f t="shared" si="0"/>
        <v>16516.7</v>
      </c>
    </row>
    <row r="66" spans="1:5" ht="15" thickBot="1">
      <c r="A66" s="25"/>
      <c r="B66" s="12">
        <v>179</v>
      </c>
      <c r="C66" s="12">
        <v>205.63</v>
      </c>
      <c r="D66" s="12">
        <v>248.56</v>
      </c>
      <c r="E66" s="11">
        <f t="shared" si="0"/>
        <v>-7684.4700000000012</v>
      </c>
    </row>
    <row r="67" spans="1:5" ht="15" thickBot="1">
      <c r="A67" s="24" t="s">
        <v>11</v>
      </c>
      <c r="B67" s="21">
        <v>365</v>
      </c>
      <c r="C67" s="21">
        <v>302.92</v>
      </c>
      <c r="D67" s="21">
        <v>120.35</v>
      </c>
      <c r="E67" s="11">
        <f t="shared" si="0"/>
        <v>66638.05</v>
      </c>
    </row>
    <row r="68" spans="1:5" ht="15" thickBot="1">
      <c r="A68" s="25" t="s">
        <v>48</v>
      </c>
      <c r="B68" s="12">
        <v>200</v>
      </c>
      <c r="C68" s="12">
        <v>318.11</v>
      </c>
      <c r="D68" s="12">
        <v>173.27</v>
      </c>
      <c r="E68" s="11">
        <f t="shared" ref="E68:E131" si="1">(C68-D68)*B68</f>
        <v>28968</v>
      </c>
    </row>
    <row r="69" spans="1:5" ht="15" thickBot="1">
      <c r="A69" s="24" t="s">
        <v>17</v>
      </c>
      <c r="B69" s="21">
        <v>164</v>
      </c>
      <c r="C69" s="21">
        <v>189.56</v>
      </c>
      <c r="D69" s="21">
        <v>69.92</v>
      </c>
      <c r="E69" s="11">
        <f t="shared" si="1"/>
        <v>19620.96</v>
      </c>
    </row>
    <row r="70" spans="1:5" ht="15" thickBot="1">
      <c r="A70" s="25" t="s">
        <v>22</v>
      </c>
      <c r="B70" s="12">
        <v>431</v>
      </c>
      <c r="C70" s="12">
        <v>258.74</v>
      </c>
      <c r="D70" s="12">
        <v>31.7</v>
      </c>
      <c r="E70" s="11">
        <f t="shared" si="1"/>
        <v>97854.24</v>
      </c>
    </row>
    <row r="71" spans="1:5" ht="15" thickBot="1">
      <c r="A71" s="24" t="s">
        <v>17</v>
      </c>
      <c r="B71" s="21">
        <v>197</v>
      </c>
      <c r="C71" s="21">
        <v>209.45</v>
      </c>
      <c r="D71" s="21">
        <v>313.51</v>
      </c>
      <c r="E71" s="11">
        <f t="shared" si="1"/>
        <v>-20499.82</v>
      </c>
    </row>
    <row r="72" spans="1:5" ht="15" thickBot="1">
      <c r="A72" s="25" t="s">
        <v>48</v>
      </c>
      <c r="B72" s="12">
        <v>16</v>
      </c>
      <c r="C72" s="12">
        <v>39.22</v>
      </c>
      <c r="D72" s="12">
        <v>107.62</v>
      </c>
      <c r="E72" s="11">
        <f t="shared" si="1"/>
        <v>-1094.4000000000001</v>
      </c>
    </row>
    <row r="73" spans="1:5" ht="15" thickBot="1">
      <c r="A73" s="24" t="s">
        <v>48</v>
      </c>
      <c r="B73" s="21">
        <v>142</v>
      </c>
      <c r="C73" s="21">
        <v>221.4</v>
      </c>
      <c r="D73" s="21">
        <v>72.75</v>
      </c>
      <c r="E73" s="11">
        <f t="shared" si="1"/>
        <v>21108.3</v>
      </c>
    </row>
    <row r="74" spans="1:5" ht="15" thickBot="1">
      <c r="A74" s="25" t="s">
        <v>48</v>
      </c>
      <c r="B74" s="12">
        <v>244</v>
      </c>
      <c r="C74" s="12">
        <v>53.21</v>
      </c>
      <c r="D74" s="12">
        <v>277.26</v>
      </c>
      <c r="E74" s="11">
        <f t="shared" si="1"/>
        <v>-54668.2</v>
      </c>
    </row>
    <row r="75" spans="1:5" ht="15" thickBot="1">
      <c r="A75" s="24" t="s">
        <v>22</v>
      </c>
      <c r="B75" s="21">
        <v>54</v>
      </c>
      <c r="C75" s="21">
        <v>205.49</v>
      </c>
      <c r="D75" s="21">
        <v>247.98</v>
      </c>
      <c r="E75" s="11">
        <f t="shared" si="1"/>
        <v>-2294.4599999999991</v>
      </c>
    </row>
    <row r="76" spans="1:5" ht="15" thickBot="1">
      <c r="A76" s="25" t="s">
        <v>48</v>
      </c>
      <c r="B76" s="12">
        <v>323</v>
      </c>
      <c r="C76" s="12">
        <v>298.49</v>
      </c>
      <c r="D76" s="12">
        <v>254.01</v>
      </c>
      <c r="E76" s="11">
        <f t="shared" si="1"/>
        <v>14367.040000000006</v>
      </c>
    </row>
    <row r="77" spans="1:5" ht="15" thickBot="1">
      <c r="A77" s="24" t="s">
        <v>22</v>
      </c>
      <c r="B77" s="21">
        <v>258</v>
      </c>
      <c r="C77" s="21">
        <v>291.81</v>
      </c>
      <c r="D77" s="21">
        <v>93.1</v>
      </c>
      <c r="E77" s="11">
        <f t="shared" si="1"/>
        <v>51267.18</v>
      </c>
    </row>
    <row r="78" spans="1:5" ht="15" thickBot="1">
      <c r="A78" s="25" t="s">
        <v>48</v>
      </c>
      <c r="B78" s="12">
        <v>40</v>
      </c>
      <c r="C78" s="12">
        <v>333</v>
      </c>
      <c r="D78" s="12">
        <v>94.59</v>
      </c>
      <c r="E78" s="11">
        <f t="shared" si="1"/>
        <v>9536.4</v>
      </c>
    </row>
    <row r="79" spans="1:5" ht="15" thickBot="1">
      <c r="A79" s="24" t="s">
        <v>17</v>
      </c>
      <c r="B79" s="21">
        <v>32</v>
      </c>
      <c r="C79" s="21">
        <v>52.15</v>
      </c>
      <c r="D79" s="21">
        <v>89.88</v>
      </c>
      <c r="E79" s="11">
        <f t="shared" si="1"/>
        <v>-1207.3599999999999</v>
      </c>
    </row>
    <row r="80" spans="1:5" ht="15" thickBot="1">
      <c r="A80" s="25" t="s">
        <v>17</v>
      </c>
      <c r="B80" s="12">
        <v>435</v>
      </c>
      <c r="C80" s="12">
        <v>327.8</v>
      </c>
      <c r="D80" s="12">
        <v>71.150000000000006</v>
      </c>
      <c r="E80" s="11">
        <f t="shared" si="1"/>
        <v>111642.74999999999</v>
      </c>
    </row>
    <row r="81" spans="1:5" ht="15" thickBot="1">
      <c r="A81" s="24" t="s">
        <v>11</v>
      </c>
      <c r="B81" s="21">
        <v>403</v>
      </c>
      <c r="C81" s="21">
        <v>159.51</v>
      </c>
      <c r="D81" s="21">
        <v>262.98</v>
      </c>
      <c r="E81" s="11">
        <f t="shared" si="1"/>
        <v>-41698.410000000011</v>
      </c>
    </row>
    <row r="82" spans="1:5" ht="15" thickBot="1">
      <c r="A82" s="25" t="s">
        <v>17</v>
      </c>
      <c r="B82" s="12">
        <v>169</v>
      </c>
      <c r="C82" s="12"/>
      <c r="D82" s="12">
        <v>339.51</v>
      </c>
      <c r="E82" s="11">
        <f t="shared" si="1"/>
        <v>-57377.189999999995</v>
      </c>
    </row>
    <row r="83" spans="1:5" ht="15" thickBot="1">
      <c r="A83" s="24" t="s">
        <v>11</v>
      </c>
      <c r="B83" s="21">
        <v>372</v>
      </c>
      <c r="C83" s="21">
        <v>429.7</v>
      </c>
      <c r="D83" s="21">
        <v>290.27999999999997</v>
      </c>
      <c r="E83" s="11">
        <f t="shared" si="1"/>
        <v>51864.240000000005</v>
      </c>
    </row>
    <row r="84" spans="1:5" ht="15" thickBot="1">
      <c r="A84" s="25" t="s">
        <v>17</v>
      </c>
      <c r="B84" s="12">
        <v>446</v>
      </c>
      <c r="C84" s="12">
        <v>9.4700000000000006</v>
      </c>
      <c r="D84" s="12">
        <v>317.25</v>
      </c>
      <c r="E84" s="11">
        <f t="shared" si="1"/>
        <v>-137269.87999999998</v>
      </c>
    </row>
    <row r="85" spans="1:5" ht="15" thickBot="1">
      <c r="A85" s="24" t="s">
        <v>22</v>
      </c>
      <c r="B85" s="21">
        <v>167</v>
      </c>
      <c r="C85" s="21">
        <v>296.26</v>
      </c>
      <c r="D85" s="21">
        <v>163.11000000000001</v>
      </c>
      <c r="E85" s="11">
        <f t="shared" si="1"/>
        <v>22236.049999999996</v>
      </c>
    </row>
    <row r="86" spans="1:5" ht="15" thickBot="1">
      <c r="A86" s="25" t="s">
        <v>17</v>
      </c>
      <c r="B86" s="12">
        <v>48</v>
      </c>
      <c r="C86" s="12">
        <v>301.36</v>
      </c>
      <c r="D86" s="12">
        <v>262.32</v>
      </c>
      <c r="E86" s="11">
        <f t="shared" si="1"/>
        <v>1873.920000000001</v>
      </c>
    </row>
    <row r="87" spans="1:5" ht="15" thickBot="1">
      <c r="A87" s="24" t="s">
        <v>11</v>
      </c>
      <c r="B87" s="21">
        <v>424</v>
      </c>
      <c r="C87" s="21">
        <v>201.35</v>
      </c>
      <c r="D87" s="21">
        <v>142.99</v>
      </c>
      <c r="E87" s="11">
        <f t="shared" si="1"/>
        <v>24744.639999999992</v>
      </c>
    </row>
    <row r="88" spans="1:5" ht="15" thickBot="1">
      <c r="A88" s="25" t="s">
        <v>11</v>
      </c>
      <c r="B88" s="12">
        <v>91</v>
      </c>
      <c r="C88" s="12">
        <v>122.33</v>
      </c>
      <c r="D88" s="12">
        <v>211.15</v>
      </c>
      <c r="E88" s="11">
        <f t="shared" si="1"/>
        <v>-8082.6200000000008</v>
      </c>
    </row>
    <row r="89" spans="1:5" ht="15" thickBot="1">
      <c r="A89" s="24" t="s">
        <v>48</v>
      </c>
      <c r="B89" s="21">
        <v>365</v>
      </c>
      <c r="C89" s="21">
        <v>121.16</v>
      </c>
      <c r="D89" s="21">
        <v>193.69</v>
      </c>
      <c r="E89" s="11">
        <f t="shared" si="1"/>
        <v>-26473.45</v>
      </c>
    </row>
    <row r="90" spans="1:5" ht="15" thickBot="1">
      <c r="A90" s="25" t="s">
        <v>22</v>
      </c>
      <c r="B90" s="12">
        <v>267</v>
      </c>
      <c r="C90" s="12">
        <v>442.44</v>
      </c>
      <c r="D90" s="12">
        <v>72.400000000000006</v>
      </c>
      <c r="E90" s="11">
        <f t="shared" si="1"/>
        <v>98800.68</v>
      </c>
    </row>
    <row r="91" spans="1:5" ht="15" thickBot="1">
      <c r="A91" s="24" t="s">
        <v>17</v>
      </c>
      <c r="B91" s="21">
        <v>215</v>
      </c>
      <c r="C91" s="21">
        <v>223.8</v>
      </c>
      <c r="D91" s="21">
        <v>156.06</v>
      </c>
      <c r="E91" s="11">
        <f t="shared" si="1"/>
        <v>14564.100000000002</v>
      </c>
    </row>
    <row r="92" spans="1:5" ht="15" thickBot="1">
      <c r="A92" s="25" t="s">
        <v>48</v>
      </c>
      <c r="B92" s="12">
        <v>86</v>
      </c>
      <c r="C92" s="12">
        <v>168.79</v>
      </c>
      <c r="D92" s="12">
        <v>385.6</v>
      </c>
      <c r="E92" s="11">
        <f t="shared" si="1"/>
        <v>-18645.660000000003</v>
      </c>
    </row>
    <row r="93" spans="1:5" ht="15" thickBot="1">
      <c r="A93" s="24" t="s">
        <v>17</v>
      </c>
      <c r="B93" s="21">
        <v>486</v>
      </c>
      <c r="C93" s="21">
        <v>227.14</v>
      </c>
      <c r="D93" s="21">
        <v>100.93</v>
      </c>
      <c r="E93" s="11">
        <f t="shared" si="1"/>
        <v>61338.05999999999</v>
      </c>
    </row>
    <row r="94" spans="1:5" ht="15" thickBot="1">
      <c r="A94" s="25" t="s">
        <v>17</v>
      </c>
      <c r="B94" s="12">
        <v>21</v>
      </c>
      <c r="C94" s="12"/>
      <c r="D94" s="12">
        <v>55.25</v>
      </c>
      <c r="E94" s="11">
        <f t="shared" si="1"/>
        <v>-1160.25</v>
      </c>
    </row>
    <row r="95" spans="1:5" ht="15" thickBot="1">
      <c r="A95" s="24" t="s">
        <v>48</v>
      </c>
      <c r="B95" s="21">
        <v>304</v>
      </c>
      <c r="C95" s="21">
        <v>77.150000000000006</v>
      </c>
      <c r="D95" s="21">
        <v>168.6</v>
      </c>
      <c r="E95" s="11">
        <f t="shared" si="1"/>
        <v>-27800.799999999996</v>
      </c>
    </row>
    <row r="96" spans="1:5" ht="15" thickBot="1">
      <c r="A96" s="25" t="s">
        <v>48</v>
      </c>
      <c r="B96" s="12">
        <v>459</v>
      </c>
      <c r="C96" s="12">
        <v>227.47</v>
      </c>
      <c r="D96" s="12">
        <v>316.55</v>
      </c>
      <c r="E96" s="11">
        <f t="shared" si="1"/>
        <v>-40887.720000000008</v>
      </c>
    </row>
    <row r="97" spans="1:5" ht="15" thickBot="1">
      <c r="A97" s="24" t="s">
        <v>48</v>
      </c>
      <c r="B97" s="21">
        <v>233</v>
      </c>
      <c r="C97" s="21">
        <v>296</v>
      </c>
      <c r="D97" s="21">
        <v>233.69</v>
      </c>
      <c r="E97" s="11">
        <f t="shared" si="1"/>
        <v>14518.230000000001</v>
      </c>
    </row>
    <row r="98" spans="1:5" ht="15" thickBot="1">
      <c r="A98" s="25" t="s">
        <v>48</v>
      </c>
      <c r="B98" s="12">
        <v>22</v>
      </c>
      <c r="C98" s="12">
        <v>474.55</v>
      </c>
      <c r="D98" s="12">
        <v>273.02999999999997</v>
      </c>
      <c r="E98" s="11">
        <f t="shared" si="1"/>
        <v>4433.4400000000005</v>
      </c>
    </row>
    <row r="99" spans="1:5" ht="15" thickBot="1">
      <c r="A99" s="24" t="s">
        <v>48</v>
      </c>
      <c r="B99" s="21">
        <v>55</v>
      </c>
      <c r="C99" s="21">
        <v>130</v>
      </c>
      <c r="D99" s="21">
        <v>77.5</v>
      </c>
      <c r="E99" s="11">
        <f t="shared" si="1"/>
        <v>2887.5</v>
      </c>
    </row>
    <row r="100" spans="1:5" ht="15" thickBot="1">
      <c r="A100" s="25" t="s">
        <v>17</v>
      </c>
      <c r="B100" s="12">
        <v>164</v>
      </c>
      <c r="C100" s="12">
        <v>182.83</v>
      </c>
      <c r="D100" s="12">
        <v>248.34</v>
      </c>
      <c r="E100" s="11">
        <f t="shared" si="1"/>
        <v>-10743.64</v>
      </c>
    </row>
    <row r="101" spans="1:5" ht="15" thickBot="1">
      <c r="A101" s="24" t="s">
        <v>48</v>
      </c>
      <c r="B101" s="21">
        <v>122</v>
      </c>
      <c r="C101" s="21">
        <v>192.78</v>
      </c>
      <c r="D101" s="21">
        <v>130.75</v>
      </c>
      <c r="E101" s="11">
        <f t="shared" si="1"/>
        <v>7567.66</v>
      </c>
    </row>
    <row r="102" spans="1:5" ht="15" thickBot="1">
      <c r="A102" s="25" t="s">
        <v>22</v>
      </c>
      <c r="B102" s="12">
        <v>242</v>
      </c>
      <c r="C102" s="12">
        <v>304.74</v>
      </c>
      <c r="D102" s="12">
        <v>334.05</v>
      </c>
      <c r="E102" s="11">
        <f t="shared" si="1"/>
        <v>-7093.02</v>
      </c>
    </row>
    <row r="103" spans="1:5" ht="15" thickBot="1">
      <c r="A103" s="24" t="s">
        <v>11</v>
      </c>
      <c r="B103" s="21">
        <v>26</v>
      </c>
      <c r="C103" s="21">
        <v>181.58</v>
      </c>
      <c r="D103" s="21">
        <v>252.46</v>
      </c>
      <c r="E103" s="11">
        <f t="shared" si="1"/>
        <v>-1842.8799999999999</v>
      </c>
    </row>
    <row r="104" spans="1:5" ht="15" thickBot="1">
      <c r="A104" s="25" t="s">
        <v>48</v>
      </c>
      <c r="B104" s="12">
        <v>369</v>
      </c>
      <c r="C104" s="12">
        <v>269.08999999999997</v>
      </c>
      <c r="D104" s="12">
        <v>81.14</v>
      </c>
      <c r="E104" s="11">
        <f t="shared" si="1"/>
        <v>69353.55</v>
      </c>
    </row>
    <row r="105" spans="1:5" ht="15" thickBot="1">
      <c r="A105" s="24" t="s">
        <v>48</v>
      </c>
      <c r="B105" s="21">
        <v>232</v>
      </c>
      <c r="C105" s="21">
        <v>391.99</v>
      </c>
      <c r="D105" s="21">
        <v>27.72</v>
      </c>
      <c r="E105" s="11">
        <f t="shared" si="1"/>
        <v>84510.64</v>
      </c>
    </row>
    <row r="106" spans="1:5" ht="15" thickBot="1">
      <c r="A106" s="25" t="s">
        <v>17</v>
      </c>
      <c r="B106" s="12">
        <v>363</v>
      </c>
      <c r="C106" s="12">
        <v>354.17</v>
      </c>
      <c r="D106" s="12">
        <v>18.97</v>
      </c>
      <c r="E106" s="11">
        <f t="shared" si="1"/>
        <v>121677.60000000002</v>
      </c>
    </row>
    <row r="107" spans="1:5" ht="15" thickBot="1">
      <c r="A107" s="24" t="s">
        <v>48</v>
      </c>
      <c r="B107" s="21">
        <v>197</v>
      </c>
      <c r="C107" s="21">
        <v>225.95</v>
      </c>
      <c r="D107" s="21">
        <v>149.82</v>
      </c>
      <c r="E107" s="11">
        <f t="shared" si="1"/>
        <v>14997.609999999999</v>
      </c>
    </row>
    <row r="108" spans="1:5" ht="15" thickBot="1">
      <c r="A108" s="25" t="s">
        <v>48</v>
      </c>
      <c r="B108" s="12">
        <v>457</v>
      </c>
      <c r="C108" s="12">
        <v>432.79</v>
      </c>
      <c r="D108" s="12">
        <v>107.81</v>
      </c>
      <c r="E108" s="11">
        <f t="shared" si="1"/>
        <v>148515.86000000002</v>
      </c>
    </row>
    <row r="109" spans="1:5" ht="15" thickBot="1">
      <c r="A109" s="24" t="s">
        <v>48</v>
      </c>
      <c r="B109" s="21">
        <v>353</v>
      </c>
      <c r="C109" s="21">
        <v>281.27999999999997</v>
      </c>
      <c r="D109" s="21">
        <v>259.14</v>
      </c>
      <c r="E109" s="11">
        <f t="shared" si="1"/>
        <v>7815.4199999999955</v>
      </c>
    </row>
    <row r="110" spans="1:5" ht="15" thickBot="1">
      <c r="A110" s="25" t="s">
        <v>17</v>
      </c>
      <c r="B110" s="12">
        <v>374</v>
      </c>
      <c r="C110" s="12">
        <v>272.25</v>
      </c>
      <c r="D110" s="12">
        <v>200.73</v>
      </c>
      <c r="E110" s="11">
        <f t="shared" si="1"/>
        <v>26748.480000000003</v>
      </c>
    </row>
    <row r="111" spans="1:5" ht="15" thickBot="1">
      <c r="A111" s="24" t="s">
        <v>48</v>
      </c>
      <c r="B111" s="21">
        <v>172</v>
      </c>
      <c r="C111" s="21">
        <v>21.92</v>
      </c>
      <c r="D111" s="21">
        <v>107.88</v>
      </c>
      <c r="E111" s="11">
        <f t="shared" si="1"/>
        <v>-14785.119999999999</v>
      </c>
    </row>
    <row r="112" spans="1:5" ht="15" thickBot="1">
      <c r="A112" s="25" t="s">
        <v>11</v>
      </c>
      <c r="B112" s="12">
        <v>335</v>
      </c>
      <c r="C112" s="12">
        <v>493.41</v>
      </c>
      <c r="D112" s="12">
        <v>61.4</v>
      </c>
      <c r="E112" s="11">
        <f t="shared" si="1"/>
        <v>144723.35</v>
      </c>
    </row>
    <row r="113" spans="1:5" ht="15" thickBot="1">
      <c r="A113" s="24" t="s">
        <v>17</v>
      </c>
      <c r="B113" s="21">
        <v>476</v>
      </c>
      <c r="C113" s="21">
        <v>65.87</v>
      </c>
      <c r="D113" s="21">
        <v>52.63</v>
      </c>
      <c r="E113" s="11">
        <f t="shared" si="1"/>
        <v>6302.2400000000007</v>
      </c>
    </row>
    <row r="114" spans="1:5" ht="15" thickBot="1">
      <c r="A114" s="25" t="s">
        <v>11</v>
      </c>
      <c r="B114" s="12">
        <v>423</v>
      </c>
      <c r="C114" s="12">
        <v>119.41</v>
      </c>
      <c r="D114" s="12">
        <v>346.13</v>
      </c>
      <c r="E114" s="11">
        <f t="shared" si="1"/>
        <v>-95902.56</v>
      </c>
    </row>
    <row r="115" spans="1:5" ht="15" thickBot="1">
      <c r="A115" s="24" t="s">
        <v>17</v>
      </c>
      <c r="B115" s="21">
        <v>464</v>
      </c>
      <c r="C115" s="21">
        <v>30.59</v>
      </c>
      <c r="D115" s="21">
        <v>98.9</v>
      </c>
      <c r="E115" s="11">
        <f t="shared" si="1"/>
        <v>-31695.84</v>
      </c>
    </row>
    <row r="116" spans="1:5" ht="15" thickBot="1">
      <c r="A116" s="25" t="s">
        <v>48</v>
      </c>
      <c r="B116" s="12">
        <v>83</v>
      </c>
      <c r="C116" s="12">
        <v>321.8</v>
      </c>
      <c r="D116" s="12">
        <v>261.38</v>
      </c>
      <c r="E116" s="11">
        <f t="shared" si="1"/>
        <v>5014.8600000000015</v>
      </c>
    </row>
    <row r="117" spans="1:5" ht="15" thickBot="1">
      <c r="A117" s="24" t="s">
        <v>11</v>
      </c>
      <c r="B117" s="21">
        <v>242</v>
      </c>
      <c r="C117" s="21">
        <v>116.23</v>
      </c>
      <c r="D117" s="21">
        <v>324.64999999999998</v>
      </c>
      <c r="E117" s="11">
        <f t="shared" si="1"/>
        <v>-50437.639999999992</v>
      </c>
    </row>
    <row r="118" spans="1:5" ht="15" thickBot="1">
      <c r="A118" s="25" t="s">
        <v>17</v>
      </c>
      <c r="B118" s="12">
        <v>233</v>
      </c>
      <c r="C118" s="12">
        <v>94.11</v>
      </c>
      <c r="D118" s="12">
        <v>246.4</v>
      </c>
      <c r="E118" s="11">
        <f t="shared" si="1"/>
        <v>-35483.570000000007</v>
      </c>
    </row>
    <row r="119" spans="1:5" ht="15" thickBot="1">
      <c r="A119" s="24" t="s">
        <v>22</v>
      </c>
      <c r="B119" s="21">
        <v>491</v>
      </c>
      <c r="C119" s="21">
        <v>48.84</v>
      </c>
      <c r="D119" s="21">
        <v>344.11</v>
      </c>
      <c r="E119" s="11">
        <f t="shared" si="1"/>
        <v>-144977.56999999998</v>
      </c>
    </row>
    <row r="120" spans="1:5" ht="15" thickBot="1">
      <c r="A120" s="25"/>
      <c r="B120" s="12">
        <v>328</v>
      </c>
      <c r="C120" s="12">
        <v>56.14</v>
      </c>
      <c r="D120" s="12">
        <v>158.16999999999999</v>
      </c>
      <c r="E120" s="11">
        <f t="shared" si="1"/>
        <v>-33465.839999999997</v>
      </c>
    </row>
    <row r="121" spans="1:5" ht="15" thickBot="1">
      <c r="A121" s="24" t="s">
        <v>17</v>
      </c>
      <c r="B121" s="21">
        <v>421</v>
      </c>
      <c r="C121" s="21">
        <v>294.41000000000003</v>
      </c>
      <c r="D121" s="21">
        <v>382.58</v>
      </c>
      <c r="E121" s="11">
        <f t="shared" si="1"/>
        <v>-37119.569999999985</v>
      </c>
    </row>
    <row r="122" spans="1:5" ht="15" thickBot="1">
      <c r="A122" s="25" t="s">
        <v>22</v>
      </c>
      <c r="B122" s="12">
        <v>69</v>
      </c>
      <c r="C122" s="12">
        <v>345.66</v>
      </c>
      <c r="D122" s="12">
        <v>54.99</v>
      </c>
      <c r="E122" s="11">
        <f t="shared" si="1"/>
        <v>20056.23</v>
      </c>
    </row>
    <row r="123" spans="1:5" ht="15" thickBot="1">
      <c r="A123" s="24" t="s">
        <v>17</v>
      </c>
      <c r="B123" s="21">
        <v>344</v>
      </c>
      <c r="C123" s="21">
        <v>201.7</v>
      </c>
      <c r="D123" s="21">
        <v>42.66</v>
      </c>
      <c r="E123" s="11">
        <f t="shared" si="1"/>
        <v>54709.759999999995</v>
      </c>
    </row>
    <row r="124" spans="1:5" ht="15" thickBot="1">
      <c r="A124" s="25"/>
      <c r="B124" s="12">
        <v>231</v>
      </c>
      <c r="C124" s="12">
        <v>242.55</v>
      </c>
      <c r="D124" s="12">
        <v>264.16000000000003</v>
      </c>
      <c r="E124" s="11">
        <f t="shared" si="1"/>
        <v>-4991.9100000000035</v>
      </c>
    </row>
    <row r="125" spans="1:5" ht="15" thickBot="1">
      <c r="A125" s="24" t="s">
        <v>48</v>
      </c>
      <c r="B125" s="21">
        <v>46</v>
      </c>
      <c r="C125" s="21">
        <v>344.55</v>
      </c>
      <c r="D125" s="21">
        <v>377.25</v>
      </c>
      <c r="E125" s="11">
        <f t="shared" si="1"/>
        <v>-1504.1999999999994</v>
      </c>
    </row>
    <row r="126" spans="1:5" ht="15" thickBot="1">
      <c r="A126" s="25" t="s">
        <v>11</v>
      </c>
      <c r="B126" s="12">
        <v>486</v>
      </c>
      <c r="C126" s="12">
        <v>13.6</v>
      </c>
      <c r="D126" s="12">
        <v>323.94</v>
      </c>
      <c r="E126" s="11">
        <f t="shared" si="1"/>
        <v>-150825.24</v>
      </c>
    </row>
    <row r="127" spans="1:5" ht="15" thickBot="1">
      <c r="A127" s="24" t="s">
        <v>22</v>
      </c>
      <c r="B127" s="21">
        <v>287</v>
      </c>
      <c r="C127" s="21">
        <v>164.95</v>
      </c>
      <c r="D127" s="21">
        <v>32.409999999999997</v>
      </c>
      <c r="E127" s="11">
        <f t="shared" si="1"/>
        <v>38038.979999999996</v>
      </c>
    </row>
    <row r="128" spans="1:5" ht="15" thickBot="1">
      <c r="A128" s="25" t="s">
        <v>17</v>
      </c>
      <c r="B128" s="12">
        <v>205</v>
      </c>
      <c r="C128" s="12">
        <v>486.68</v>
      </c>
      <c r="D128" s="12">
        <v>113.19</v>
      </c>
      <c r="E128" s="11">
        <f t="shared" si="1"/>
        <v>76565.45</v>
      </c>
    </row>
    <row r="129" spans="1:5" ht="15" thickBot="1">
      <c r="A129" s="24" t="s">
        <v>48</v>
      </c>
      <c r="B129" s="21">
        <v>413</v>
      </c>
      <c r="C129" s="21">
        <v>292.16000000000003</v>
      </c>
      <c r="D129" s="21">
        <v>372.27</v>
      </c>
      <c r="E129" s="11">
        <f t="shared" si="1"/>
        <v>-33085.429999999986</v>
      </c>
    </row>
    <row r="130" spans="1:5" ht="15" thickBot="1">
      <c r="A130" s="25" t="s">
        <v>22</v>
      </c>
      <c r="B130" s="12">
        <v>361</v>
      </c>
      <c r="C130" s="12">
        <v>130.84</v>
      </c>
      <c r="D130" s="12">
        <v>102.72</v>
      </c>
      <c r="E130" s="11">
        <f t="shared" si="1"/>
        <v>10151.320000000002</v>
      </c>
    </row>
    <row r="131" spans="1:5" ht="15" thickBot="1">
      <c r="A131" s="24" t="s">
        <v>17</v>
      </c>
      <c r="B131" s="21">
        <v>493</v>
      </c>
      <c r="C131" s="21">
        <v>263.26</v>
      </c>
      <c r="D131" s="21">
        <v>312.91000000000003</v>
      </c>
      <c r="E131" s="11">
        <f t="shared" si="1"/>
        <v>-24477.450000000015</v>
      </c>
    </row>
    <row r="132" spans="1:5" ht="15" thickBot="1">
      <c r="A132" s="25" t="s">
        <v>17</v>
      </c>
      <c r="B132" s="12">
        <v>251</v>
      </c>
      <c r="C132" s="12">
        <v>174.61</v>
      </c>
      <c r="D132" s="12">
        <v>330.4</v>
      </c>
      <c r="E132" s="11">
        <f t="shared" ref="E132:E195" si="2">(C132-D132)*B132</f>
        <v>-39103.289999999994</v>
      </c>
    </row>
    <row r="133" spans="1:5" ht="15" thickBot="1">
      <c r="A133" s="24" t="s">
        <v>17</v>
      </c>
      <c r="B133" s="21"/>
      <c r="C133" s="21">
        <v>268.45999999999998</v>
      </c>
      <c r="D133" s="21">
        <v>199.19</v>
      </c>
      <c r="E133" s="11">
        <f t="shared" si="2"/>
        <v>0</v>
      </c>
    </row>
    <row r="134" spans="1:5" ht="15" thickBot="1">
      <c r="A134" s="25" t="s">
        <v>22</v>
      </c>
      <c r="B134" s="12">
        <v>228</v>
      </c>
      <c r="C134" s="12">
        <v>67.239999999999995</v>
      </c>
      <c r="D134" s="12">
        <v>155.77000000000001</v>
      </c>
      <c r="E134" s="11">
        <f t="shared" si="2"/>
        <v>-20184.840000000004</v>
      </c>
    </row>
    <row r="135" spans="1:5" ht="15" thickBot="1">
      <c r="A135" s="24" t="s">
        <v>22</v>
      </c>
      <c r="B135" s="21">
        <v>201</v>
      </c>
      <c r="C135" s="21">
        <v>70.69</v>
      </c>
      <c r="D135" s="21">
        <v>181.15</v>
      </c>
      <c r="E135" s="11">
        <f t="shared" si="2"/>
        <v>-22202.460000000003</v>
      </c>
    </row>
    <row r="136" spans="1:5" ht="15" thickBot="1">
      <c r="A136" s="25" t="s">
        <v>22</v>
      </c>
      <c r="B136" s="12">
        <v>26</v>
      </c>
      <c r="C136" s="12">
        <v>76.05</v>
      </c>
      <c r="D136" s="12">
        <v>92.33</v>
      </c>
      <c r="E136" s="11">
        <f t="shared" si="2"/>
        <v>-423.28000000000003</v>
      </c>
    </row>
    <row r="137" spans="1:5" ht="15" thickBot="1">
      <c r="A137" s="24" t="s">
        <v>11</v>
      </c>
      <c r="B137" s="21">
        <v>21</v>
      </c>
      <c r="C137" s="21">
        <v>470.21</v>
      </c>
      <c r="D137" s="21">
        <v>355.98</v>
      </c>
      <c r="E137" s="11">
        <f t="shared" si="2"/>
        <v>2398.829999999999</v>
      </c>
    </row>
    <row r="138" spans="1:5" ht="15" thickBot="1">
      <c r="A138" s="25" t="s">
        <v>22</v>
      </c>
      <c r="B138" s="12">
        <v>415</v>
      </c>
      <c r="C138" s="12">
        <v>367.78</v>
      </c>
      <c r="D138" s="12">
        <v>181.35</v>
      </c>
      <c r="E138" s="11">
        <f t="shared" si="2"/>
        <v>77368.45</v>
      </c>
    </row>
    <row r="139" spans="1:5" ht="15" thickBot="1">
      <c r="A139" s="24" t="s">
        <v>22</v>
      </c>
      <c r="B139" s="21">
        <v>410</v>
      </c>
      <c r="C139" s="21">
        <v>85.38</v>
      </c>
      <c r="D139" s="21">
        <v>353.22</v>
      </c>
      <c r="E139" s="11">
        <f t="shared" si="2"/>
        <v>-109814.40000000001</v>
      </c>
    </row>
    <row r="140" spans="1:5" ht="15" thickBot="1">
      <c r="A140" s="25" t="s">
        <v>22</v>
      </c>
      <c r="B140" s="12">
        <v>403</v>
      </c>
      <c r="C140" s="12">
        <v>98.23</v>
      </c>
      <c r="D140" s="12">
        <v>44.07</v>
      </c>
      <c r="E140" s="11">
        <f t="shared" si="2"/>
        <v>21826.480000000003</v>
      </c>
    </row>
    <row r="141" spans="1:5" ht="15" thickBot="1">
      <c r="A141" s="24" t="s">
        <v>11</v>
      </c>
      <c r="B141" s="21">
        <v>383</v>
      </c>
      <c r="C141" s="21">
        <v>366.76</v>
      </c>
      <c r="D141" s="21">
        <v>395.33</v>
      </c>
      <c r="E141" s="11">
        <f t="shared" si="2"/>
        <v>-10942.309999999998</v>
      </c>
    </row>
    <row r="142" spans="1:5" ht="15" thickBot="1">
      <c r="A142" s="25" t="s">
        <v>22</v>
      </c>
      <c r="B142" s="12">
        <v>202</v>
      </c>
      <c r="C142" s="12">
        <v>82.3</v>
      </c>
      <c r="D142" s="12">
        <v>178.42</v>
      </c>
      <c r="E142" s="11">
        <f t="shared" si="2"/>
        <v>-19416.239999999998</v>
      </c>
    </row>
    <row r="143" spans="1:5" ht="15" thickBot="1">
      <c r="A143" s="24" t="s">
        <v>17</v>
      </c>
      <c r="B143" s="21">
        <v>31</v>
      </c>
      <c r="C143" s="21">
        <v>121.11</v>
      </c>
      <c r="D143" s="21">
        <v>21.04</v>
      </c>
      <c r="E143" s="11">
        <f t="shared" si="2"/>
        <v>3102.1699999999996</v>
      </c>
    </row>
    <row r="144" spans="1:5" ht="15" thickBot="1">
      <c r="A144" s="25" t="s">
        <v>22</v>
      </c>
      <c r="B144" s="12">
        <v>483</v>
      </c>
      <c r="C144" s="12">
        <v>481.86</v>
      </c>
      <c r="D144" s="12">
        <v>17.13</v>
      </c>
      <c r="E144" s="11">
        <f t="shared" si="2"/>
        <v>224464.59</v>
      </c>
    </row>
    <row r="145" spans="1:5" ht="15" thickBot="1">
      <c r="A145" s="24" t="s">
        <v>17</v>
      </c>
      <c r="B145" s="21">
        <v>129</v>
      </c>
      <c r="C145" s="21">
        <v>131.38</v>
      </c>
      <c r="D145" s="21">
        <v>298.99</v>
      </c>
      <c r="E145" s="11">
        <f t="shared" si="2"/>
        <v>-21621.690000000002</v>
      </c>
    </row>
    <row r="146" spans="1:5" ht="15" thickBot="1">
      <c r="A146" s="25" t="s">
        <v>17</v>
      </c>
      <c r="B146" s="12">
        <v>219</v>
      </c>
      <c r="C146" s="12">
        <v>332.51</v>
      </c>
      <c r="D146" s="12">
        <v>264.3</v>
      </c>
      <c r="E146" s="11">
        <f t="shared" si="2"/>
        <v>14937.989999999996</v>
      </c>
    </row>
    <row r="147" spans="1:5" ht="15" thickBot="1">
      <c r="A147" s="24" t="s">
        <v>17</v>
      </c>
      <c r="B147" s="21">
        <v>315</v>
      </c>
      <c r="C147" s="21">
        <v>489.42</v>
      </c>
      <c r="D147" s="21">
        <v>321.25</v>
      </c>
      <c r="E147" s="11">
        <f t="shared" si="2"/>
        <v>52973.55</v>
      </c>
    </row>
    <row r="148" spans="1:5" ht="15" thickBot="1">
      <c r="A148" s="25" t="s">
        <v>11</v>
      </c>
      <c r="B148" s="12">
        <v>279</v>
      </c>
      <c r="C148" s="12">
        <v>190.28</v>
      </c>
      <c r="D148" s="12">
        <v>43.94</v>
      </c>
      <c r="E148" s="11">
        <f t="shared" si="2"/>
        <v>40828.86</v>
      </c>
    </row>
    <row r="149" spans="1:5" ht="15" thickBot="1">
      <c r="A149" s="24" t="s">
        <v>11</v>
      </c>
      <c r="B149" s="21">
        <v>201</v>
      </c>
      <c r="C149" s="21">
        <v>13.67</v>
      </c>
      <c r="D149" s="21">
        <v>16.16</v>
      </c>
      <c r="E149" s="11">
        <f t="shared" si="2"/>
        <v>-500.49000000000007</v>
      </c>
    </row>
    <row r="150" spans="1:5" ht="15" thickBot="1">
      <c r="A150" s="25" t="s">
        <v>11</v>
      </c>
      <c r="B150" s="12">
        <v>184</v>
      </c>
      <c r="C150" s="12">
        <v>125.85</v>
      </c>
      <c r="D150" s="12">
        <v>204.41</v>
      </c>
      <c r="E150" s="11">
        <f t="shared" si="2"/>
        <v>-14455.04</v>
      </c>
    </row>
    <row r="151" spans="1:5" ht="15" thickBot="1">
      <c r="A151" s="24" t="s">
        <v>22</v>
      </c>
      <c r="B151" s="21">
        <v>294</v>
      </c>
      <c r="C151" s="21">
        <v>416.28</v>
      </c>
      <c r="D151" s="21">
        <v>156.26</v>
      </c>
      <c r="E151" s="11">
        <f t="shared" si="2"/>
        <v>76445.87999999999</v>
      </c>
    </row>
    <row r="152" spans="1:5" ht="15" thickBot="1">
      <c r="A152" s="25" t="s">
        <v>17</v>
      </c>
      <c r="B152" s="12">
        <v>213</v>
      </c>
      <c r="C152" s="12">
        <v>432.98</v>
      </c>
      <c r="D152" s="12">
        <v>185.85</v>
      </c>
      <c r="E152" s="11">
        <f t="shared" si="2"/>
        <v>52638.69</v>
      </c>
    </row>
    <row r="153" spans="1:5" ht="15" thickBot="1">
      <c r="A153" s="24" t="s">
        <v>11</v>
      </c>
      <c r="B153" s="21">
        <v>173</v>
      </c>
      <c r="C153" s="21">
        <v>385.42</v>
      </c>
      <c r="D153" s="21">
        <v>396.65</v>
      </c>
      <c r="E153" s="11">
        <f t="shared" si="2"/>
        <v>-1942.7899999999934</v>
      </c>
    </row>
    <row r="154" spans="1:5" ht="15" thickBot="1">
      <c r="A154" s="25" t="s">
        <v>11</v>
      </c>
      <c r="B154" s="12">
        <v>260</v>
      </c>
      <c r="C154" s="12">
        <v>60.99</v>
      </c>
      <c r="D154" s="12">
        <v>388.36</v>
      </c>
      <c r="E154" s="11">
        <f t="shared" si="2"/>
        <v>-85116.2</v>
      </c>
    </row>
    <row r="155" spans="1:5" ht="15" thickBot="1">
      <c r="A155" s="24" t="s">
        <v>22</v>
      </c>
      <c r="B155" s="21">
        <v>236</v>
      </c>
      <c r="C155" s="21">
        <v>398.78</v>
      </c>
      <c r="D155" s="21">
        <v>377.04</v>
      </c>
      <c r="E155" s="11">
        <f t="shared" si="2"/>
        <v>5130.6399999999885</v>
      </c>
    </row>
    <row r="156" spans="1:5" ht="15" thickBot="1">
      <c r="A156" s="25" t="s">
        <v>11</v>
      </c>
      <c r="B156" s="12">
        <v>445</v>
      </c>
      <c r="C156" s="12">
        <v>459.75</v>
      </c>
      <c r="D156" s="12">
        <v>313.97000000000003</v>
      </c>
      <c r="E156" s="11">
        <f t="shared" si="2"/>
        <v>64872.099999999991</v>
      </c>
    </row>
    <row r="157" spans="1:5" ht="15" thickBot="1">
      <c r="A157" s="24" t="s">
        <v>22</v>
      </c>
      <c r="B157" s="21">
        <v>390</v>
      </c>
      <c r="C157" s="21">
        <v>302.3</v>
      </c>
      <c r="D157" s="21">
        <v>143.22999999999999</v>
      </c>
      <c r="E157" s="11">
        <f t="shared" si="2"/>
        <v>62037.30000000001</v>
      </c>
    </row>
    <row r="158" spans="1:5" ht="15" thickBot="1">
      <c r="A158" s="25" t="s">
        <v>48</v>
      </c>
      <c r="B158" s="12">
        <v>469</v>
      </c>
      <c r="C158" s="12">
        <v>470.73</v>
      </c>
      <c r="D158" s="12">
        <v>166.03</v>
      </c>
      <c r="E158" s="11">
        <f t="shared" si="2"/>
        <v>142904.30000000002</v>
      </c>
    </row>
    <row r="159" spans="1:5" ht="15" thickBot="1">
      <c r="A159" s="24" t="s">
        <v>11</v>
      </c>
      <c r="B159" s="21">
        <v>16</v>
      </c>
      <c r="C159" s="21"/>
      <c r="D159" s="21">
        <v>220.75</v>
      </c>
      <c r="E159" s="11">
        <f t="shared" si="2"/>
        <v>-3532</v>
      </c>
    </row>
    <row r="160" spans="1:5" ht="15" thickBot="1">
      <c r="A160" s="25" t="s">
        <v>48</v>
      </c>
      <c r="B160" s="12">
        <v>38</v>
      </c>
      <c r="C160" s="12">
        <v>335.15</v>
      </c>
      <c r="D160" s="12">
        <v>332.55</v>
      </c>
      <c r="E160" s="11">
        <f t="shared" si="2"/>
        <v>98.799999999998704</v>
      </c>
    </row>
    <row r="161" spans="1:5" ht="15" thickBot="1">
      <c r="A161" s="24" t="s">
        <v>22</v>
      </c>
      <c r="B161" s="21">
        <v>404</v>
      </c>
      <c r="C161" s="21">
        <v>290.70999999999998</v>
      </c>
      <c r="D161" s="21">
        <v>29.35</v>
      </c>
      <c r="E161" s="11">
        <f t="shared" si="2"/>
        <v>105589.43999999999</v>
      </c>
    </row>
    <row r="162" spans="1:5" ht="15" thickBot="1">
      <c r="A162" s="25" t="s">
        <v>17</v>
      </c>
      <c r="B162" s="12">
        <v>42</v>
      </c>
      <c r="C162" s="12">
        <v>177.54</v>
      </c>
      <c r="D162" s="12">
        <v>170.87</v>
      </c>
      <c r="E162" s="11">
        <f t="shared" si="2"/>
        <v>280.13999999999947</v>
      </c>
    </row>
    <row r="163" spans="1:5" ht="15" thickBot="1">
      <c r="A163" s="24" t="s">
        <v>11</v>
      </c>
      <c r="B163" s="21">
        <v>143</v>
      </c>
      <c r="C163" s="21">
        <v>83.85</v>
      </c>
      <c r="D163" s="21">
        <v>34.880000000000003</v>
      </c>
      <c r="E163" s="11">
        <f t="shared" si="2"/>
        <v>7002.7099999999991</v>
      </c>
    </row>
    <row r="164" spans="1:5" ht="15" thickBot="1">
      <c r="A164" s="25" t="s">
        <v>22</v>
      </c>
      <c r="B164" s="12">
        <v>376</v>
      </c>
      <c r="C164" s="12">
        <v>304.45</v>
      </c>
      <c r="D164" s="12">
        <v>206.83</v>
      </c>
      <c r="E164" s="11">
        <f t="shared" si="2"/>
        <v>36705.119999999988</v>
      </c>
    </row>
    <row r="165" spans="1:5" ht="15" thickBot="1">
      <c r="A165" s="24" t="s">
        <v>17</v>
      </c>
      <c r="B165" s="21">
        <v>88</v>
      </c>
      <c r="C165" s="21">
        <v>162.47</v>
      </c>
      <c r="D165" s="21">
        <v>359.76</v>
      </c>
      <c r="E165" s="11">
        <f t="shared" si="2"/>
        <v>-17361.52</v>
      </c>
    </row>
    <row r="166" spans="1:5" ht="15" thickBot="1">
      <c r="A166" s="25" t="s">
        <v>17</v>
      </c>
      <c r="B166" s="12">
        <v>425</v>
      </c>
      <c r="C166" s="12">
        <v>433.89</v>
      </c>
      <c r="D166" s="12">
        <v>313.43</v>
      </c>
      <c r="E166" s="11">
        <f t="shared" si="2"/>
        <v>51195.499999999993</v>
      </c>
    </row>
    <row r="167" spans="1:5" ht="15" thickBot="1">
      <c r="A167" s="24" t="s">
        <v>48</v>
      </c>
      <c r="B167" s="21">
        <v>444</v>
      </c>
      <c r="C167" s="21">
        <v>496.7</v>
      </c>
      <c r="D167" s="21">
        <v>92.68</v>
      </c>
      <c r="E167" s="11">
        <f t="shared" si="2"/>
        <v>179384.88</v>
      </c>
    </row>
    <row r="168" spans="1:5" ht="15" thickBot="1">
      <c r="A168" s="25" t="s">
        <v>22</v>
      </c>
      <c r="B168" s="12">
        <v>468</v>
      </c>
      <c r="C168" s="12">
        <v>377.45</v>
      </c>
      <c r="D168" s="12">
        <v>390.44</v>
      </c>
      <c r="E168" s="11">
        <f t="shared" si="2"/>
        <v>-6079.3200000000043</v>
      </c>
    </row>
    <row r="169" spans="1:5" ht="15" thickBot="1">
      <c r="A169" s="24" t="s">
        <v>17</v>
      </c>
      <c r="B169" s="21">
        <v>67</v>
      </c>
      <c r="C169" s="21">
        <v>49.79</v>
      </c>
      <c r="D169" s="21">
        <v>267.61</v>
      </c>
      <c r="E169" s="11">
        <f t="shared" si="2"/>
        <v>-14593.940000000002</v>
      </c>
    </row>
    <row r="170" spans="1:5" ht="15" thickBot="1">
      <c r="A170" s="25" t="s">
        <v>11</v>
      </c>
      <c r="B170" s="12">
        <v>480</v>
      </c>
      <c r="C170" s="12">
        <v>147.9</v>
      </c>
      <c r="D170" s="12">
        <v>6.15</v>
      </c>
      <c r="E170" s="11">
        <f t="shared" si="2"/>
        <v>68040</v>
      </c>
    </row>
    <row r="171" spans="1:5" ht="15" thickBot="1">
      <c r="A171" s="24" t="s">
        <v>11</v>
      </c>
      <c r="B171" s="21">
        <v>35</v>
      </c>
      <c r="C171" s="21">
        <v>59.01</v>
      </c>
      <c r="D171" s="21">
        <v>103.65</v>
      </c>
      <c r="E171" s="11">
        <f t="shared" si="2"/>
        <v>-1562.4000000000003</v>
      </c>
    </row>
    <row r="172" spans="1:5" ht="15" thickBot="1">
      <c r="A172" s="25" t="s">
        <v>48</v>
      </c>
      <c r="B172" s="12">
        <v>491</v>
      </c>
      <c r="C172" s="12">
        <v>327</v>
      </c>
      <c r="D172" s="12">
        <v>105.76</v>
      </c>
      <c r="E172" s="11">
        <f t="shared" si="2"/>
        <v>108628.84000000001</v>
      </c>
    </row>
    <row r="173" spans="1:5" ht="15" thickBot="1">
      <c r="A173" s="24" t="s">
        <v>17</v>
      </c>
      <c r="B173" s="21">
        <v>439</v>
      </c>
      <c r="C173" s="21">
        <v>383.77</v>
      </c>
      <c r="D173" s="21">
        <v>29.56</v>
      </c>
      <c r="E173" s="11">
        <f t="shared" si="2"/>
        <v>155498.19</v>
      </c>
    </row>
    <row r="174" spans="1:5" ht="15" thickBot="1">
      <c r="A174" s="25" t="s">
        <v>22</v>
      </c>
      <c r="B174" s="12">
        <v>235</v>
      </c>
      <c r="C174" s="12">
        <v>463.21</v>
      </c>
      <c r="D174" s="12">
        <v>384.01</v>
      </c>
      <c r="E174" s="11">
        <f t="shared" si="2"/>
        <v>18611.999999999996</v>
      </c>
    </row>
    <row r="175" spans="1:5" ht="15" thickBot="1">
      <c r="A175" s="24" t="s">
        <v>11</v>
      </c>
      <c r="B175" s="21">
        <v>294</v>
      </c>
      <c r="C175" s="21">
        <v>221.9</v>
      </c>
      <c r="D175" s="21">
        <v>192.35</v>
      </c>
      <c r="E175" s="11">
        <f t="shared" si="2"/>
        <v>8687.7000000000025</v>
      </c>
    </row>
    <row r="176" spans="1:5" ht="15" thickBot="1">
      <c r="A176" s="25" t="s">
        <v>17</v>
      </c>
      <c r="B176" s="12">
        <v>13</v>
      </c>
      <c r="C176" s="12">
        <v>451.18</v>
      </c>
      <c r="D176" s="12">
        <v>358.53</v>
      </c>
      <c r="E176" s="11">
        <f t="shared" si="2"/>
        <v>1204.4500000000005</v>
      </c>
    </row>
    <row r="177" spans="1:5" ht="15" thickBot="1">
      <c r="A177" s="24" t="s">
        <v>17</v>
      </c>
      <c r="B177" s="21">
        <v>474</v>
      </c>
      <c r="C177" s="21">
        <v>439.56</v>
      </c>
      <c r="D177" s="21">
        <v>130.24</v>
      </c>
      <c r="E177" s="11">
        <f t="shared" si="2"/>
        <v>146617.68</v>
      </c>
    </row>
    <row r="178" spans="1:5" ht="15" thickBot="1">
      <c r="A178" s="25" t="s">
        <v>48</v>
      </c>
      <c r="B178" s="12">
        <v>108</v>
      </c>
      <c r="C178" s="12">
        <v>162.01</v>
      </c>
      <c r="D178" s="12">
        <v>51.84</v>
      </c>
      <c r="E178" s="11">
        <f t="shared" si="2"/>
        <v>11898.359999999999</v>
      </c>
    </row>
    <row r="179" spans="1:5" ht="15" thickBot="1">
      <c r="A179" s="24" t="s">
        <v>11</v>
      </c>
      <c r="B179" s="21">
        <v>406</v>
      </c>
      <c r="C179" s="21">
        <v>435.11</v>
      </c>
      <c r="D179" s="21">
        <v>190.79</v>
      </c>
      <c r="E179" s="11">
        <f t="shared" si="2"/>
        <v>99193.920000000013</v>
      </c>
    </row>
    <row r="180" spans="1:5" ht="15" thickBot="1">
      <c r="A180" s="25" t="s">
        <v>11</v>
      </c>
      <c r="B180" s="12">
        <v>498</v>
      </c>
      <c r="C180" s="12">
        <v>190.96</v>
      </c>
      <c r="D180" s="12">
        <v>47.35</v>
      </c>
      <c r="E180" s="11">
        <f t="shared" si="2"/>
        <v>71517.780000000013</v>
      </c>
    </row>
    <row r="181" spans="1:5" ht="15" thickBot="1">
      <c r="A181" s="24" t="s">
        <v>22</v>
      </c>
      <c r="B181" s="21">
        <v>48</v>
      </c>
      <c r="C181" s="21">
        <v>151.94999999999999</v>
      </c>
      <c r="D181" s="21">
        <v>195.43</v>
      </c>
      <c r="E181" s="11">
        <f t="shared" si="2"/>
        <v>-2087.0400000000009</v>
      </c>
    </row>
    <row r="182" spans="1:5" ht="15" thickBot="1">
      <c r="A182" s="25" t="s">
        <v>11</v>
      </c>
      <c r="B182" s="12">
        <v>280</v>
      </c>
      <c r="C182" s="12">
        <v>326.29000000000002</v>
      </c>
      <c r="D182" s="12">
        <v>368.28</v>
      </c>
      <c r="E182" s="11">
        <f t="shared" si="2"/>
        <v>-11757.199999999986</v>
      </c>
    </row>
    <row r="183" spans="1:5" ht="15" thickBot="1">
      <c r="A183" s="24" t="s">
        <v>22</v>
      </c>
      <c r="B183" s="21">
        <v>384</v>
      </c>
      <c r="C183" s="21">
        <v>167.55</v>
      </c>
      <c r="D183" s="21">
        <v>209.27</v>
      </c>
      <c r="E183" s="11">
        <f t="shared" si="2"/>
        <v>-16020.48</v>
      </c>
    </row>
    <row r="184" spans="1:5" ht="15" thickBot="1">
      <c r="A184" s="25" t="s">
        <v>11</v>
      </c>
      <c r="B184" s="12">
        <v>294</v>
      </c>
      <c r="C184" s="12">
        <v>316.95</v>
      </c>
      <c r="D184" s="12">
        <v>247.37</v>
      </c>
      <c r="E184" s="11">
        <f t="shared" si="2"/>
        <v>20456.519999999997</v>
      </c>
    </row>
    <row r="185" spans="1:5" ht="15" thickBot="1">
      <c r="A185" s="24" t="s">
        <v>48</v>
      </c>
      <c r="B185" s="21">
        <v>166</v>
      </c>
      <c r="C185" s="21">
        <v>306.87</v>
      </c>
      <c r="D185" s="21">
        <v>64.34</v>
      </c>
      <c r="E185" s="11">
        <f t="shared" si="2"/>
        <v>40259.980000000003</v>
      </c>
    </row>
    <row r="186" spans="1:5" ht="15" thickBot="1">
      <c r="A186" s="25" t="s">
        <v>11</v>
      </c>
      <c r="B186" s="12">
        <v>84</v>
      </c>
      <c r="C186" s="12">
        <v>283.89999999999998</v>
      </c>
      <c r="D186" s="12">
        <v>19.41</v>
      </c>
      <c r="E186" s="11">
        <f t="shared" si="2"/>
        <v>22217.159999999996</v>
      </c>
    </row>
    <row r="187" spans="1:5" ht="15" thickBot="1">
      <c r="A187" s="24" t="s">
        <v>22</v>
      </c>
      <c r="B187" s="21">
        <v>381</v>
      </c>
      <c r="C187" s="21">
        <v>193.31</v>
      </c>
      <c r="D187" s="21">
        <v>46.1</v>
      </c>
      <c r="E187" s="11">
        <f t="shared" si="2"/>
        <v>56087.01</v>
      </c>
    </row>
    <row r="188" spans="1:5" ht="15" thickBot="1">
      <c r="A188" s="25" t="s">
        <v>22</v>
      </c>
      <c r="B188" s="12">
        <v>297</v>
      </c>
      <c r="C188" s="12">
        <v>276.51</v>
      </c>
      <c r="D188" s="12">
        <v>240.22</v>
      </c>
      <c r="E188" s="11">
        <f t="shared" si="2"/>
        <v>10778.129999999997</v>
      </c>
    </row>
    <row r="189" spans="1:5" ht="15" thickBot="1">
      <c r="A189" s="24" t="s">
        <v>48</v>
      </c>
      <c r="B189" s="21">
        <v>139</v>
      </c>
      <c r="C189" s="21">
        <v>300.26</v>
      </c>
      <c r="D189" s="21">
        <v>39.81</v>
      </c>
      <c r="E189" s="11">
        <f t="shared" si="2"/>
        <v>36202.549999999996</v>
      </c>
    </row>
    <row r="190" spans="1:5" ht="15" thickBot="1">
      <c r="A190" s="25" t="s">
        <v>11</v>
      </c>
      <c r="B190" s="12">
        <v>184</v>
      </c>
      <c r="C190" s="12">
        <v>275.12</v>
      </c>
      <c r="D190" s="12">
        <v>151.65</v>
      </c>
      <c r="E190" s="11">
        <f t="shared" si="2"/>
        <v>22718.48</v>
      </c>
    </row>
    <row r="191" spans="1:5" ht="15" thickBot="1">
      <c r="A191" s="24" t="s">
        <v>11</v>
      </c>
      <c r="B191" s="21">
        <v>471</v>
      </c>
      <c r="C191" s="21">
        <v>224.99</v>
      </c>
      <c r="D191" s="21">
        <v>220.94</v>
      </c>
      <c r="E191" s="11">
        <f t="shared" si="2"/>
        <v>1907.5500000000054</v>
      </c>
    </row>
    <row r="192" spans="1:5" ht="15" thickBot="1">
      <c r="A192" s="25" t="s">
        <v>48</v>
      </c>
      <c r="B192" s="12">
        <v>93</v>
      </c>
      <c r="C192" s="12">
        <v>12.26</v>
      </c>
      <c r="D192" s="12">
        <v>156.68</v>
      </c>
      <c r="E192" s="11">
        <f t="shared" si="2"/>
        <v>-13431.060000000001</v>
      </c>
    </row>
    <row r="193" spans="1:5" ht="15" thickBot="1">
      <c r="A193" s="24" t="s">
        <v>11</v>
      </c>
      <c r="B193" s="21">
        <v>31</v>
      </c>
      <c r="C193" s="21">
        <v>295.60000000000002</v>
      </c>
      <c r="D193" s="21">
        <v>67.150000000000006</v>
      </c>
      <c r="E193" s="11">
        <f t="shared" si="2"/>
        <v>7081.9500000000007</v>
      </c>
    </row>
    <row r="194" spans="1:5" ht="15" thickBot="1">
      <c r="A194" s="25" t="s">
        <v>11</v>
      </c>
      <c r="B194" s="12">
        <v>468</v>
      </c>
      <c r="C194" s="12">
        <v>88.38</v>
      </c>
      <c r="D194" s="12">
        <v>110.97</v>
      </c>
      <c r="E194" s="11">
        <f t="shared" si="2"/>
        <v>-10572.12</v>
      </c>
    </row>
    <row r="195" spans="1:5" ht="15" thickBot="1">
      <c r="A195" s="24" t="s">
        <v>22</v>
      </c>
      <c r="B195" s="21">
        <v>36</v>
      </c>
      <c r="C195" s="21">
        <v>323.08</v>
      </c>
      <c r="D195" s="21">
        <v>371.47</v>
      </c>
      <c r="E195" s="11">
        <f t="shared" si="2"/>
        <v>-1742.0400000000016</v>
      </c>
    </row>
    <row r="196" spans="1:5" ht="15" thickBot="1">
      <c r="A196" s="25" t="s">
        <v>11</v>
      </c>
      <c r="B196" s="12">
        <v>204</v>
      </c>
      <c r="C196" s="12">
        <v>380.88</v>
      </c>
      <c r="D196" s="12">
        <v>271.04000000000002</v>
      </c>
      <c r="E196" s="11">
        <f t="shared" ref="E196:E259" si="3">(C196-D196)*B196</f>
        <v>22407.359999999993</v>
      </c>
    </row>
    <row r="197" spans="1:5" ht="15" thickBot="1">
      <c r="A197" s="24" t="s">
        <v>11</v>
      </c>
      <c r="B197" s="21">
        <v>346</v>
      </c>
      <c r="C197" s="21">
        <v>252.72</v>
      </c>
      <c r="D197" s="21">
        <v>199.43</v>
      </c>
      <c r="E197" s="11">
        <f t="shared" si="3"/>
        <v>18438.339999999997</v>
      </c>
    </row>
    <row r="198" spans="1:5" ht="15" thickBot="1">
      <c r="A198" s="25" t="s">
        <v>48</v>
      </c>
      <c r="B198" s="12">
        <v>391</v>
      </c>
      <c r="C198" s="12">
        <v>273.47000000000003</v>
      </c>
      <c r="D198" s="12">
        <v>7.06</v>
      </c>
      <c r="E198" s="11">
        <f t="shared" si="3"/>
        <v>104166.31000000001</v>
      </c>
    </row>
    <row r="199" spans="1:5" ht="15" thickBot="1">
      <c r="A199" s="24" t="s">
        <v>48</v>
      </c>
      <c r="B199" s="21">
        <v>245</v>
      </c>
      <c r="C199" s="21">
        <v>475.98</v>
      </c>
      <c r="D199" s="21">
        <v>396.98</v>
      </c>
      <c r="E199" s="11">
        <f t="shared" si="3"/>
        <v>19355</v>
      </c>
    </row>
    <row r="200" spans="1:5" ht="15" thickBot="1">
      <c r="A200" s="25" t="s">
        <v>17</v>
      </c>
      <c r="B200" s="12">
        <v>449</v>
      </c>
      <c r="C200" s="12">
        <v>424.35</v>
      </c>
      <c r="D200" s="12">
        <v>269.24</v>
      </c>
      <c r="E200" s="11">
        <f t="shared" si="3"/>
        <v>69644.39</v>
      </c>
    </row>
    <row r="201" spans="1:5" ht="15" thickBot="1">
      <c r="A201" s="24" t="s">
        <v>22</v>
      </c>
      <c r="B201" s="21">
        <v>101</v>
      </c>
      <c r="C201" s="21">
        <v>457.55</v>
      </c>
      <c r="D201" s="21">
        <v>128.13999999999999</v>
      </c>
      <c r="E201" s="11">
        <f t="shared" si="3"/>
        <v>33270.410000000003</v>
      </c>
    </row>
    <row r="202" spans="1:5" ht="15" thickBot="1">
      <c r="A202" s="25" t="s">
        <v>11</v>
      </c>
      <c r="B202" s="12"/>
      <c r="C202" s="12">
        <v>407.81</v>
      </c>
      <c r="D202" s="12">
        <v>351.95</v>
      </c>
      <c r="E202" s="11">
        <f t="shared" si="3"/>
        <v>0</v>
      </c>
    </row>
    <row r="203" spans="1:5" ht="15" thickBot="1">
      <c r="A203" s="24" t="s">
        <v>11</v>
      </c>
      <c r="B203" s="21">
        <v>30</v>
      </c>
      <c r="C203" s="21">
        <v>58.91</v>
      </c>
      <c r="D203" s="21">
        <v>104.86</v>
      </c>
      <c r="E203" s="11">
        <f t="shared" si="3"/>
        <v>-1378.5</v>
      </c>
    </row>
    <row r="204" spans="1:5" ht="15" thickBot="1">
      <c r="A204" s="25" t="s">
        <v>17</v>
      </c>
      <c r="B204" s="12">
        <v>312</v>
      </c>
      <c r="C204" s="12">
        <v>78.75</v>
      </c>
      <c r="D204" s="12">
        <v>218.52</v>
      </c>
      <c r="E204" s="11">
        <f t="shared" si="3"/>
        <v>-43608.240000000005</v>
      </c>
    </row>
    <row r="205" spans="1:5" ht="15" thickBot="1">
      <c r="A205" s="24" t="s">
        <v>11</v>
      </c>
      <c r="B205" s="21">
        <v>473</v>
      </c>
      <c r="C205" s="21">
        <v>265.68</v>
      </c>
      <c r="D205" s="21">
        <v>255.16</v>
      </c>
      <c r="E205" s="11">
        <f t="shared" si="3"/>
        <v>4975.9600000000046</v>
      </c>
    </row>
    <row r="206" spans="1:5" ht="15" thickBot="1">
      <c r="A206" s="25" t="s">
        <v>22</v>
      </c>
      <c r="B206" s="12">
        <v>366</v>
      </c>
      <c r="C206" s="12">
        <v>126.8</v>
      </c>
      <c r="D206" s="12">
        <v>89.98</v>
      </c>
      <c r="E206" s="11">
        <f t="shared" si="3"/>
        <v>13476.119999999997</v>
      </c>
    </row>
    <row r="207" spans="1:5" ht="15" thickBot="1">
      <c r="A207" s="24" t="s">
        <v>17</v>
      </c>
      <c r="B207" s="21">
        <v>452</v>
      </c>
      <c r="C207" s="21">
        <v>240.96</v>
      </c>
      <c r="D207" s="21">
        <v>391.4</v>
      </c>
      <c r="E207" s="11">
        <f t="shared" si="3"/>
        <v>-67998.87999999999</v>
      </c>
    </row>
    <row r="208" spans="1:5" ht="15" thickBot="1">
      <c r="A208" s="25" t="s">
        <v>22</v>
      </c>
      <c r="B208" s="12">
        <v>93</v>
      </c>
      <c r="C208" s="12">
        <v>200.21</v>
      </c>
      <c r="D208" s="12">
        <v>299.77999999999997</v>
      </c>
      <c r="E208" s="11">
        <f t="shared" si="3"/>
        <v>-9260.0099999999966</v>
      </c>
    </row>
    <row r="209" spans="1:5" ht="15" thickBot="1">
      <c r="A209" s="24" t="s">
        <v>17</v>
      </c>
      <c r="B209" s="21">
        <v>271</v>
      </c>
      <c r="C209" s="21">
        <v>276.95999999999998</v>
      </c>
      <c r="D209" s="21">
        <v>224.01</v>
      </c>
      <c r="E209" s="11">
        <f t="shared" si="3"/>
        <v>14349.449999999997</v>
      </c>
    </row>
    <row r="210" spans="1:5" ht="15" thickBot="1">
      <c r="A210" s="25" t="s">
        <v>17</v>
      </c>
      <c r="B210" s="12">
        <v>156</v>
      </c>
      <c r="C210" s="12">
        <v>374.7</v>
      </c>
      <c r="D210" s="12">
        <v>73.88</v>
      </c>
      <c r="E210" s="11">
        <f t="shared" si="3"/>
        <v>46927.92</v>
      </c>
    </row>
    <row r="211" spans="1:5" ht="15" thickBot="1">
      <c r="A211" s="24" t="s">
        <v>48</v>
      </c>
      <c r="B211" s="21">
        <v>450</v>
      </c>
      <c r="C211" s="21">
        <v>359.17</v>
      </c>
      <c r="D211" s="21">
        <v>23.44</v>
      </c>
      <c r="E211" s="11">
        <f t="shared" si="3"/>
        <v>151078.5</v>
      </c>
    </row>
    <row r="212" spans="1:5" ht="15" thickBot="1">
      <c r="A212" s="25" t="s">
        <v>22</v>
      </c>
      <c r="B212" s="12">
        <v>462</v>
      </c>
      <c r="C212" s="12">
        <v>263.01</v>
      </c>
      <c r="D212" s="12">
        <v>129.38</v>
      </c>
      <c r="E212" s="11">
        <f t="shared" si="3"/>
        <v>61737.06</v>
      </c>
    </row>
    <row r="213" spans="1:5" ht="15" thickBot="1">
      <c r="A213" s="24" t="s">
        <v>11</v>
      </c>
      <c r="B213" s="21">
        <v>396</v>
      </c>
      <c r="C213" s="21">
        <v>412.08</v>
      </c>
      <c r="D213" s="21">
        <v>301.77</v>
      </c>
      <c r="E213" s="11">
        <f t="shared" si="3"/>
        <v>43682.76</v>
      </c>
    </row>
    <row r="214" spans="1:5" ht="15" thickBot="1">
      <c r="A214" s="25" t="s">
        <v>11</v>
      </c>
      <c r="B214" s="12">
        <v>266</v>
      </c>
      <c r="C214" s="12">
        <v>218.28</v>
      </c>
      <c r="D214" s="12">
        <v>109.19</v>
      </c>
      <c r="E214" s="11">
        <f t="shared" si="3"/>
        <v>29017.940000000002</v>
      </c>
    </row>
    <row r="215" spans="1:5" ht="15" thickBot="1">
      <c r="A215" s="24" t="s">
        <v>22</v>
      </c>
      <c r="B215" s="21">
        <v>67</v>
      </c>
      <c r="C215" s="21">
        <v>448.87</v>
      </c>
      <c r="D215" s="21">
        <v>216.74</v>
      </c>
      <c r="E215" s="11">
        <f t="shared" si="3"/>
        <v>15552.71</v>
      </c>
    </row>
    <row r="216" spans="1:5" ht="15" thickBot="1">
      <c r="A216" s="25" t="s">
        <v>11</v>
      </c>
      <c r="B216" s="12">
        <v>389</v>
      </c>
      <c r="C216" s="12">
        <v>40.28</v>
      </c>
      <c r="D216" s="12">
        <v>291.72000000000003</v>
      </c>
      <c r="E216" s="11">
        <f t="shared" si="3"/>
        <v>-97810.16</v>
      </c>
    </row>
    <row r="217" spans="1:5" ht="15" thickBot="1">
      <c r="A217" s="24" t="s">
        <v>11</v>
      </c>
      <c r="B217" s="21">
        <v>431</v>
      </c>
      <c r="C217" s="21">
        <v>477.56</v>
      </c>
      <c r="D217" s="21">
        <v>44.96</v>
      </c>
      <c r="E217" s="11">
        <f t="shared" si="3"/>
        <v>186450.6</v>
      </c>
    </row>
    <row r="218" spans="1:5" ht="15" thickBot="1">
      <c r="A218" s="25" t="s">
        <v>22</v>
      </c>
      <c r="B218" s="12">
        <v>24</v>
      </c>
      <c r="C218" s="12">
        <v>329.07</v>
      </c>
      <c r="D218" s="12">
        <v>274.75</v>
      </c>
      <c r="E218" s="11">
        <f t="shared" si="3"/>
        <v>1303.6799999999998</v>
      </c>
    </row>
    <row r="219" spans="1:5" ht="15" thickBot="1">
      <c r="A219" s="24" t="s">
        <v>17</v>
      </c>
      <c r="B219" s="21">
        <v>171</v>
      </c>
      <c r="C219" s="21">
        <v>193.14</v>
      </c>
      <c r="D219" s="21">
        <v>38.56</v>
      </c>
      <c r="E219" s="11">
        <f t="shared" si="3"/>
        <v>26433.179999999997</v>
      </c>
    </row>
    <row r="220" spans="1:5" ht="15" thickBot="1">
      <c r="A220" s="25" t="s">
        <v>22</v>
      </c>
      <c r="B220" s="12">
        <v>454</v>
      </c>
      <c r="C220" s="12">
        <v>102.59</v>
      </c>
      <c r="D220" s="12">
        <v>386.12</v>
      </c>
      <c r="E220" s="11">
        <f t="shared" si="3"/>
        <v>-128722.61999999998</v>
      </c>
    </row>
    <row r="221" spans="1:5" ht="15" thickBot="1">
      <c r="A221" s="24" t="s">
        <v>17</v>
      </c>
      <c r="B221" s="21">
        <v>172</v>
      </c>
      <c r="C221" s="21">
        <v>242.2</v>
      </c>
      <c r="D221" s="21">
        <v>196.38</v>
      </c>
      <c r="E221" s="11">
        <f t="shared" si="3"/>
        <v>7881.0399999999991</v>
      </c>
    </row>
    <row r="222" spans="1:5" ht="15" thickBot="1">
      <c r="A222" s="25" t="s">
        <v>11</v>
      </c>
      <c r="B222" s="12">
        <v>329</v>
      </c>
      <c r="C222" s="12">
        <v>101.31</v>
      </c>
      <c r="D222" s="12">
        <v>61.97</v>
      </c>
      <c r="E222" s="11">
        <f t="shared" si="3"/>
        <v>12942.86</v>
      </c>
    </row>
    <row r="223" spans="1:5" ht="15" thickBot="1">
      <c r="A223" s="24" t="s">
        <v>11</v>
      </c>
      <c r="B223" s="21">
        <v>290</v>
      </c>
      <c r="C223" s="21">
        <v>87.33</v>
      </c>
      <c r="D223" s="21">
        <v>138.27000000000001</v>
      </c>
      <c r="E223" s="11">
        <f t="shared" si="3"/>
        <v>-14772.600000000004</v>
      </c>
    </row>
    <row r="224" spans="1:5" ht="15" thickBot="1">
      <c r="A224" s="25"/>
      <c r="B224" s="12">
        <v>289</v>
      </c>
      <c r="C224" s="12">
        <v>310.58999999999997</v>
      </c>
      <c r="D224" s="12">
        <v>166.54</v>
      </c>
      <c r="E224" s="11">
        <f t="shared" si="3"/>
        <v>41630.449999999997</v>
      </c>
    </row>
    <row r="225" spans="1:5" ht="15" thickBot="1">
      <c r="A225" s="24" t="s">
        <v>48</v>
      </c>
      <c r="B225" s="21">
        <v>21</v>
      </c>
      <c r="C225" s="21">
        <v>263.93</v>
      </c>
      <c r="D225" s="21">
        <v>303.76</v>
      </c>
      <c r="E225" s="11">
        <f t="shared" si="3"/>
        <v>-836.42999999999961</v>
      </c>
    </row>
    <row r="226" spans="1:5" ht="15" thickBot="1">
      <c r="A226" s="25" t="s">
        <v>17</v>
      </c>
      <c r="B226" s="12">
        <v>283</v>
      </c>
      <c r="C226" s="12">
        <v>336.7</v>
      </c>
      <c r="D226" s="12">
        <v>297.88</v>
      </c>
      <c r="E226" s="11">
        <f t="shared" si="3"/>
        <v>10986.059999999998</v>
      </c>
    </row>
    <row r="227" spans="1:5" ht="15" thickBot="1">
      <c r="A227" s="24" t="s">
        <v>48</v>
      </c>
      <c r="B227" s="21">
        <v>280</v>
      </c>
      <c r="C227" s="21">
        <v>465.15</v>
      </c>
      <c r="D227" s="21">
        <v>245.55</v>
      </c>
      <c r="E227" s="11">
        <f t="shared" si="3"/>
        <v>61487.999999999993</v>
      </c>
    </row>
    <row r="228" spans="1:5" ht="15" thickBot="1">
      <c r="A228" s="25" t="s">
        <v>48</v>
      </c>
      <c r="B228" s="12">
        <v>217</v>
      </c>
      <c r="C228" s="12">
        <v>268.47000000000003</v>
      </c>
      <c r="D228" s="12">
        <v>44.16</v>
      </c>
      <c r="E228" s="11">
        <f t="shared" si="3"/>
        <v>48675.270000000004</v>
      </c>
    </row>
    <row r="229" spans="1:5" ht="15" thickBot="1">
      <c r="A229" s="24" t="s">
        <v>22</v>
      </c>
      <c r="B229" s="21">
        <v>36</v>
      </c>
      <c r="C229" s="21">
        <v>292.56</v>
      </c>
      <c r="D229" s="21">
        <v>62.32</v>
      </c>
      <c r="E229" s="11">
        <f t="shared" si="3"/>
        <v>8288.64</v>
      </c>
    </row>
    <row r="230" spans="1:5" ht="15" thickBot="1">
      <c r="A230" s="25" t="s">
        <v>48</v>
      </c>
      <c r="B230" s="12"/>
      <c r="C230" s="12">
        <v>49.37</v>
      </c>
      <c r="D230" s="12">
        <v>39.32</v>
      </c>
      <c r="E230" s="11">
        <f t="shared" si="3"/>
        <v>0</v>
      </c>
    </row>
    <row r="231" spans="1:5" ht="15" thickBot="1">
      <c r="A231" s="24" t="s">
        <v>22</v>
      </c>
      <c r="B231" s="21">
        <v>69</v>
      </c>
      <c r="C231" s="21">
        <v>360.23</v>
      </c>
      <c r="D231" s="21">
        <v>231.71</v>
      </c>
      <c r="E231" s="11">
        <f t="shared" si="3"/>
        <v>8867.880000000001</v>
      </c>
    </row>
    <row r="232" spans="1:5" ht="15" thickBot="1">
      <c r="A232" s="25" t="s">
        <v>22</v>
      </c>
      <c r="B232" s="12">
        <v>439</v>
      </c>
      <c r="C232" s="12">
        <v>202.95</v>
      </c>
      <c r="D232" s="12">
        <v>351.1</v>
      </c>
      <c r="E232" s="11">
        <f t="shared" si="3"/>
        <v>-65037.850000000013</v>
      </c>
    </row>
    <row r="233" spans="1:5" ht="15" thickBot="1">
      <c r="A233" s="24" t="s">
        <v>48</v>
      </c>
      <c r="B233" s="21">
        <v>482</v>
      </c>
      <c r="C233" s="21">
        <v>488.48</v>
      </c>
      <c r="D233" s="21">
        <v>174.65</v>
      </c>
      <c r="E233" s="11">
        <f t="shared" si="3"/>
        <v>151266.06000000003</v>
      </c>
    </row>
    <row r="234" spans="1:5" ht="15" thickBot="1">
      <c r="A234" s="25" t="s">
        <v>17</v>
      </c>
      <c r="B234" s="12">
        <v>154</v>
      </c>
      <c r="C234" s="12">
        <v>412.47</v>
      </c>
      <c r="D234" s="12">
        <v>66.02</v>
      </c>
      <c r="E234" s="11">
        <f t="shared" si="3"/>
        <v>53353.30000000001</v>
      </c>
    </row>
    <row r="235" spans="1:5" ht="15" thickBot="1">
      <c r="A235" s="24" t="s">
        <v>17</v>
      </c>
      <c r="B235" s="21">
        <v>102</v>
      </c>
      <c r="C235" s="21">
        <v>263.63</v>
      </c>
      <c r="D235" s="21">
        <v>224.1</v>
      </c>
      <c r="E235" s="11">
        <f t="shared" si="3"/>
        <v>4032.06</v>
      </c>
    </row>
    <row r="236" spans="1:5" ht="15" thickBot="1">
      <c r="A236" s="25" t="s">
        <v>17</v>
      </c>
      <c r="B236" s="12">
        <v>318</v>
      </c>
      <c r="C236" s="12">
        <v>66</v>
      </c>
      <c r="D236" s="12">
        <v>325.08</v>
      </c>
      <c r="E236" s="11">
        <f t="shared" si="3"/>
        <v>-82387.439999999988</v>
      </c>
    </row>
    <row r="237" spans="1:5" ht="15" thickBot="1">
      <c r="A237" s="24" t="s">
        <v>17</v>
      </c>
      <c r="B237" s="21">
        <v>17</v>
      </c>
      <c r="C237" s="21">
        <v>430.41</v>
      </c>
      <c r="D237" s="21">
        <v>297.2</v>
      </c>
      <c r="E237" s="11">
        <f t="shared" si="3"/>
        <v>2264.5700000000006</v>
      </c>
    </row>
    <row r="238" spans="1:5" ht="15" thickBot="1">
      <c r="A238" s="25" t="s">
        <v>17</v>
      </c>
      <c r="B238" s="12">
        <v>88</v>
      </c>
      <c r="C238" s="12">
        <v>400.89</v>
      </c>
      <c r="D238" s="12">
        <v>352.82</v>
      </c>
      <c r="E238" s="11">
        <f t="shared" si="3"/>
        <v>4230.16</v>
      </c>
    </row>
    <row r="239" spans="1:5" ht="15" thickBot="1">
      <c r="A239" s="24" t="s">
        <v>48</v>
      </c>
      <c r="B239" s="21">
        <v>36</v>
      </c>
      <c r="C239" s="21">
        <v>96.37</v>
      </c>
      <c r="D239" s="21">
        <v>112.61</v>
      </c>
      <c r="E239" s="11">
        <f t="shared" si="3"/>
        <v>-584.63999999999987</v>
      </c>
    </row>
    <row r="240" spans="1:5" ht="15" thickBot="1">
      <c r="A240" s="25" t="s">
        <v>48</v>
      </c>
      <c r="B240" s="12">
        <v>183</v>
      </c>
      <c r="C240" s="12">
        <v>151.16</v>
      </c>
      <c r="D240" s="12">
        <v>79.19</v>
      </c>
      <c r="E240" s="11">
        <f t="shared" si="3"/>
        <v>13170.51</v>
      </c>
    </row>
    <row r="241" spans="1:5" ht="15" thickBot="1">
      <c r="A241" s="24" t="s">
        <v>11</v>
      </c>
      <c r="B241" s="21">
        <v>59</v>
      </c>
      <c r="C241" s="21">
        <v>397.74</v>
      </c>
      <c r="D241" s="21">
        <v>352.17</v>
      </c>
      <c r="E241" s="11">
        <f t="shared" si="3"/>
        <v>2688.6299999999997</v>
      </c>
    </row>
    <row r="242" spans="1:5" ht="15" thickBot="1">
      <c r="A242" s="25" t="s">
        <v>17</v>
      </c>
      <c r="B242" s="12">
        <v>208</v>
      </c>
      <c r="C242" s="12">
        <v>96.69</v>
      </c>
      <c r="D242" s="12">
        <v>263.70999999999998</v>
      </c>
      <c r="E242" s="11">
        <f t="shared" si="3"/>
        <v>-34740.159999999996</v>
      </c>
    </row>
    <row r="243" spans="1:5" ht="15" thickBot="1">
      <c r="A243" s="24" t="s">
        <v>48</v>
      </c>
      <c r="B243" s="21">
        <v>396</v>
      </c>
      <c r="C243" s="21">
        <v>459.29</v>
      </c>
      <c r="D243" s="21">
        <v>125.75</v>
      </c>
      <c r="E243" s="11">
        <f t="shared" si="3"/>
        <v>132081.84</v>
      </c>
    </row>
    <row r="244" spans="1:5" ht="15" thickBot="1">
      <c r="A244" s="25" t="s">
        <v>11</v>
      </c>
      <c r="B244" s="12">
        <v>358</v>
      </c>
      <c r="C244" s="12">
        <v>215.14</v>
      </c>
      <c r="D244" s="12">
        <v>297.45</v>
      </c>
      <c r="E244" s="11">
        <f t="shared" si="3"/>
        <v>-29466.98</v>
      </c>
    </row>
    <row r="245" spans="1:5" ht="15" thickBot="1">
      <c r="A245" s="24" t="s">
        <v>17</v>
      </c>
      <c r="B245" s="21">
        <v>457</v>
      </c>
      <c r="C245" s="21">
        <v>48.08</v>
      </c>
      <c r="D245" s="21">
        <v>326.42</v>
      </c>
      <c r="E245" s="11">
        <f t="shared" si="3"/>
        <v>-127201.38000000002</v>
      </c>
    </row>
    <row r="246" spans="1:5" ht="15" thickBot="1">
      <c r="A246" s="25" t="s">
        <v>22</v>
      </c>
      <c r="B246" s="12">
        <v>437</v>
      </c>
      <c r="C246" s="12">
        <v>408.8</v>
      </c>
      <c r="D246" s="12">
        <v>246.76</v>
      </c>
      <c r="E246" s="11">
        <f t="shared" si="3"/>
        <v>70811.48000000001</v>
      </c>
    </row>
    <row r="247" spans="1:5" ht="15" thickBot="1">
      <c r="A247" s="24" t="s">
        <v>11</v>
      </c>
      <c r="B247" s="21">
        <v>190</v>
      </c>
      <c r="C247" s="21">
        <v>189.89</v>
      </c>
      <c r="D247" s="21">
        <v>275.77999999999997</v>
      </c>
      <c r="E247" s="11">
        <f t="shared" si="3"/>
        <v>-16319.099999999997</v>
      </c>
    </row>
    <row r="248" spans="1:5" ht="15" thickBot="1">
      <c r="A248" s="25" t="s">
        <v>48</v>
      </c>
      <c r="B248" s="12">
        <v>33</v>
      </c>
      <c r="C248" s="12">
        <v>265.62</v>
      </c>
      <c r="D248" s="12">
        <v>151.35</v>
      </c>
      <c r="E248" s="11">
        <f t="shared" si="3"/>
        <v>3770.9100000000003</v>
      </c>
    </row>
    <row r="249" spans="1:5" ht="15" thickBot="1">
      <c r="A249" s="24" t="s">
        <v>22</v>
      </c>
      <c r="B249" s="21">
        <v>325</v>
      </c>
      <c r="C249" s="21">
        <v>60.59</v>
      </c>
      <c r="D249" s="21">
        <v>216.4</v>
      </c>
      <c r="E249" s="11">
        <f t="shared" si="3"/>
        <v>-50638.25</v>
      </c>
    </row>
    <row r="250" spans="1:5" ht="15" thickBot="1">
      <c r="A250" s="25" t="s">
        <v>22</v>
      </c>
      <c r="B250" s="12">
        <v>387</v>
      </c>
      <c r="C250" s="12">
        <v>6.28</v>
      </c>
      <c r="D250" s="12">
        <v>210.62</v>
      </c>
      <c r="E250" s="11">
        <f t="shared" si="3"/>
        <v>-79079.58</v>
      </c>
    </row>
    <row r="251" spans="1:5" ht="15" thickBot="1">
      <c r="A251" s="24" t="s">
        <v>22</v>
      </c>
      <c r="B251" s="21">
        <v>396</v>
      </c>
      <c r="C251" s="21">
        <v>320.8</v>
      </c>
      <c r="D251" s="21">
        <v>339.52</v>
      </c>
      <c r="E251" s="11">
        <f t="shared" si="3"/>
        <v>-7413.1199999999881</v>
      </c>
    </row>
    <row r="252" spans="1:5" ht="15" thickBot="1">
      <c r="A252" s="25" t="s">
        <v>11</v>
      </c>
      <c r="B252" s="12">
        <v>413</v>
      </c>
      <c r="C252" s="12">
        <v>260.01</v>
      </c>
      <c r="D252" s="12">
        <v>336.31</v>
      </c>
      <c r="E252" s="11">
        <f t="shared" si="3"/>
        <v>-31511.900000000005</v>
      </c>
    </row>
    <row r="253" spans="1:5" ht="15" thickBot="1">
      <c r="A253" s="24" t="s">
        <v>48</v>
      </c>
      <c r="B253" s="21"/>
      <c r="C253" s="21">
        <v>298.8</v>
      </c>
      <c r="D253" s="21">
        <v>333.41</v>
      </c>
      <c r="E253" s="11">
        <f t="shared" si="3"/>
        <v>0</v>
      </c>
    </row>
    <row r="254" spans="1:5" ht="15" thickBot="1">
      <c r="A254" s="25" t="s">
        <v>22</v>
      </c>
      <c r="B254" s="12">
        <v>24</v>
      </c>
      <c r="C254" s="12">
        <v>397.9</v>
      </c>
      <c r="D254" s="12">
        <v>6.39</v>
      </c>
      <c r="E254" s="11">
        <f t="shared" si="3"/>
        <v>9396.24</v>
      </c>
    </row>
    <row r="255" spans="1:5" ht="15" thickBot="1">
      <c r="A255" s="24" t="s">
        <v>17</v>
      </c>
      <c r="B255" s="21">
        <v>162</v>
      </c>
      <c r="C255" s="21">
        <v>325.07</v>
      </c>
      <c r="D255" s="21">
        <v>300.32</v>
      </c>
      <c r="E255" s="11">
        <f t="shared" si="3"/>
        <v>4009.5</v>
      </c>
    </row>
    <row r="256" spans="1:5" ht="15" thickBot="1">
      <c r="A256" s="25" t="s">
        <v>22</v>
      </c>
      <c r="B256" s="12">
        <v>231</v>
      </c>
      <c r="C256" s="12">
        <v>91.51</v>
      </c>
      <c r="D256" s="12">
        <v>303.95</v>
      </c>
      <c r="E256" s="11">
        <f t="shared" si="3"/>
        <v>-49073.64</v>
      </c>
    </row>
    <row r="257" spans="1:5" ht="15" thickBot="1">
      <c r="A257" s="24" t="s">
        <v>22</v>
      </c>
      <c r="B257" s="21">
        <v>215</v>
      </c>
      <c r="C257" s="21">
        <v>183.58</v>
      </c>
      <c r="D257" s="21">
        <v>271.99</v>
      </c>
      <c r="E257" s="11">
        <f t="shared" si="3"/>
        <v>-19008.149999999998</v>
      </c>
    </row>
    <row r="258" spans="1:5" ht="15" thickBot="1">
      <c r="A258" s="25" t="s">
        <v>11</v>
      </c>
      <c r="B258" s="12">
        <v>464</v>
      </c>
      <c r="C258" s="12">
        <v>453.42</v>
      </c>
      <c r="D258" s="12">
        <v>302.99</v>
      </c>
      <c r="E258" s="11">
        <f t="shared" si="3"/>
        <v>69799.520000000004</v>
      </c>
    </row>
    <row r="259" spans="1:5" ht="15" thickBot="1">
      <c r="A259" s="24" t="s">
        <v>11</v>
      </c>
      <c r="B259" s="21">
        <v>282</v>
      </c>
      <c r="C259" s="21"/>
      <c r="D259" s="21">
        <v>337.1</v>
      </c>
      <c r="E259" s="11">
        <f t="shared" si="3"/>
        <v>-95062.200000000012</v>
      </c>
    </row>
    <row r="260" spans="1:5" ht="15" thickBot="1">
      <c r="A260" s="25" t="s">
        <v>48</v>
      </c>
      <c r="B260" s="12">
        <v>391</v>
      </c>
      <c r="C260" s="12">
        <v>280.54000000000002</v>
      </c>
      <c r="D260" s="12">
        <v>189.19</v>
      </c>
      <c r="E260" s="11">
        <f t="shared" ref="E260:E323" si="4">(C260-D260)*B260</f>
        <v>35717.850000000006</v>
      </c>
    </row>
    <row r="261" spans="1:5" ht="15" thickBot="1">
      <c r="A261" s="24" t="s">
        <v>17</v>
      </c>
      <c r="B261" s="21">
        <v>245</v>
      </c>
      <c r="C261" s="21">
        <v>131.54</v>
      </c>
      <c r="D261" s="21">
        <v>201.82</v>
      </c>
      <c r="E261" s="11">
        <f t="shared" si="4"/>
        <v>-17218.599999999999</v>
      </c>
    </row>
    <row r="262" spans="1:5" ht="15" thickBot="1">
      <c r="A262" s="25" t="s">
        <v>11</v>
      </c>
      <c r="B262" s="12">
        <v>349</v>
      </c>
      <c r="C262" s="12">
        <v>154.52000000000001</v>
      </c>
      <c r="D262" s="12">
        <v>51.64</v>
      </c>
      <c r="E262" s="11">
        <f t="shared" si="4"/>
        <v>35905.120000000003</v>
      </c>
    </row>
    <row r="263" spans="1:5" ht="15" thickBot="1">
      <c r="A263" s="24" t="s">
        <v>22</v>
      </c>
      <c r="B263" s="21">
        <v>237</v>
      </c>
      <c r="C263" s="21"/>
      <c r="D263" s="21">
        <v>155.38</v>
      </c>
      <c r="E263" s="11">
        <f t="shared" si="4"/>
        <v>-36825.06</v>
      </c>
    </row>
    <row r="264" spans="1:5" ht="15" thickBot="1">
      <c r="A264" s="25" t="s">
        <v>48</v>
      </c>
      <c r="B264" s="12">
        <v>18</v>
      </c>
      <c r="C264" s="12">
        <v>426.33</v>
      </c>
      <c r="D264" s="12">
        <v>258.06</v>
      </c>
      <c r="E264" s="11">
        <f t="shared" si="4"/>
        <v>3028.8599999999997</v>
      </c>
    </row>
    <row r="265" spans="1:5" ht="15" thickBot="1">
      <c r="A265" s="24" t="s">
        <v>22</v>
      </c>
      <c r="B265" s="21">
        <v>175</v>
      </c>
      <c r="C265" s="21">
        <v>337.36</v>
      </c>
      <c r="D265" s="21">
        <v>312.60000000000002</v>
      </c>
      <c r="E265" s="11">
        <f t="shared" si="4"/>
        <v>4332.9999999999982</v>
      </c>
    </row>
    <row r="266" spans="1:5" ht="15" thickBot="1">
      <c r="A266" s="25" t="s">
        <v>22</v>
      </c>
      <c r="B266" s="12">
        <v>441</v>
      </c>
      <c r="C266" s="12">
        <v>405.72</v>
      </c>
      <c r="D266" s="12">
        <v>88.45</v>
      </c>
      <c r="E266" s="11">
        <f t="shared" si="4"/>
        <v>139916.07</v>
      </c>
    </row>
    <row r="267" spans="1:5" ht="15" thickBot="1">
      <c r="A267" s="24" t="s">
        <v>11</v>
      </c>
      <c r="B267" s="21">
        <v>453</v>
      </c>
      <c r="C267" s="21">
        <v>384.49</v>
      </c>
      <c r="D267" s="21">
        <v>56.85</v>
      </c>
      <c r="E267" s="11">
        <f t="shared" si="4"/>
        <v>148420.91999999998</v>
      </c>
    </row>
    <row r="268" spans="1:5" ht="15" thickBot="1">
      <c r="A268" s="25" t="s">
        <v>48</v>
      </c>
      <c r="B268" s="12">
        <v>328</v>
      </c>
      <c r="C268" s="12">
        <v>79.099999999999994</v>
      </c>
      <c r="D268" s="12">
        <v>265.89</v>
      </c>
      <c r="E268" s="11">
        <f t="shared" si="4"/>
        <v>-61267.119999999995</v>
      </c>
    </row>
    <row r="269" spans="1:5" ht="15" thickBot="1">
      <c r="A269" s="24" t="s">
        <v>17</v>
      </c>
      <c r="B269" s="21">
        <v>223</v>
      </c>
      <c r="C269" s="21">
        <v>214.85</v>
      </c>
      <c r="D269" s="21">
        <v>2.75</v>
      </c>
      <c r="E269" s="11">
        <f t="shared" si="4"/>
        <v>47298.299999999996</v>
      </c>
    </row>
    <row r="270" spans="1:5" ht="15" thickBot="1">
      <c r="A270" s="25" t="s">
        <v>17</v>
      </c>
      <c r="B270" s="12">
        <v>126</v>
      </c>
      <c r="C270" s="12">
        <v>80.73</v>
      </c>
      <c r="D270" s="12">
        <v>72.989999999999995</v>
      </c>
      <c r="E270" s="11">
        <f t="shared" si="4"/>
        <v>975.24000000000115</v>
      </c>
    </row>
    <row r="271" spans="1:5" ht="15" thickBot="1">
      <c r="A271" s="24" t="s">
        <v>11</v>
      </c>
      <c r="B271" s="21">
        <v>395</v>
      </c>
      <c r="C271" s="21">
        <v>121.44</v>
      </c>
      <c r="D271" s="21">
        <v>13.57</v>
      </c>
      <c r="E271" s="11">
        <f t="shared" si="4"/>
        <v>42608.65</v>
      </c>
    </row>
    <row r="272" spans="1:5" ht="15" thickBot="1">
      <c r="A272" s="25" t="s">
        <v>11</v>
      </c>
      <c r="B272" s="12">
        <v>353</v>
      </c>
      <c r="C272" s="12">
        <v>435.28</v>
      </c>
      <c r="D272" s="12">
        <v>68.42</v>
      </c>
      <c r="E272" s="11">
        <f t="shared" si="4"/>
        <v>129501.57999999999</v>
      </c>
    </row>
    <row r="273" spans="1:5" ht="15" thickBot="1">
      <c r="A273" s="24" t="s">
        <v>48</v>
      </c>
      <c r="B273" s="21">
        <v>81</v>
      </c>
      <c r="C273" s="21">
        <v>239.08</v>
      </c>
      <c r="D273" s="21">
        <v>74.17</v>
      </c>
      <c r="E273" s="11">
        <f t="shared" si="4"/>
        <v>13357.710000000003</v>
      </c>
    </row>
    <row r="274" spans="1:5" ht="15" thickBot="1">
      <c r="A274" s="25" t="s">
        <v>17</v>
      </c>
      <c r="B274" s="12">
        <v>404</v>
      </c>
      <c r="C274" s="12">
        <v>270</v>
      </c>
      <c r="D274" s="12">
        <v>156.29</v>
      </c>
      <c r="E274" s="11">
        <f t="shared" si="4"/>
        <v>45938.840000000004</v>
      </c>
    </row>
    <row r="275" spans="1:5" ht="15" thickBot="1">
      <c r="A275" s="24" t="s">
        <v>17</v>
      </c>
      <c r="B275" s="21">
        <v>73</v>
      </c>
      <c r="C275" s="21">
        <v>93.33</v>
      </c>
      <c r="D275" s="21">
        <v>162.13</v>
      </c>
      <c r="E275" s="11">
        <f t="shared" si="4"/>
        <v>-5022.3999999999996</v>
      </c>
    </row>
    <row r="276" spans="1:5" ht="15" thickBot="1">
      <c r="A276" s="25" t="s">
        <v>17</v>
      </c>
      <c r="B276" s="12">
        <v>214</v>
      </c>
      <c r="C276" s="12">
        <v>159.57</v>
      </c>
      <c r="D276" s="12">
        <v>349.96</v>
      </c>
      <c r="E276" s="11">
        <f t="shared" si="4"/>
        <v>-40743.46</v>
      </c>
    </row>
    <row r="277" spans="1:5" ht="15" thickBot="1">
      <c r="A277" s="24" t="s">
        <v>22</v>
      </c>
      <c r="B277" s="21">
        <v>218</v>
      </c>
      <c r="C277" s="21">
        <v>118.97</v>
      </c>
      <c r="D277" s="21">
        <v>205.02</v>
      </c>
      <c r="E277" s="11">
        <f t="shared" si="4"/>
        <v>-18758.900000000001</v>
      </c>
    </row>
    <row r="278" spans="1:5" ht="15" thickBot="1">
      <c r="A278" s="25" t="s">
        <v>17</v>
      </c>
      <c r="B278" s="12">
        <v>81</v>
      </c>
      <c r="C278" s="12">
        <v>107.06</v>
      </c>
      <c r="D278" s="12">
        <v>289.92</v>
      </c>
      <c r="E278" s="11">
        <f t="shared" si="4"/>
        <v>-14811.660000000002</v>
      </c>
    </row>
    <row r="279" spans="1:5" ht="15" thickBot="1">
      <c r="A279" s="24" t="s">
        <v>22</v>
      </c>
      <c r="B279" s="21">
        <v>286</v>
      </c>
      <c r="C279" s="21">
        <v>320.79000000000002</v>
      </c>
      <c r="D279" s="21">
        <v>43.45</v>
      </c>
      <c r="E279" s="11">
        <f t="shared" si="4"/>
        <v>79319.240000000005</v>
      </c>
    </row>
    <row r="280" spans="1:5" ht="15" thickBot="1">
      <c r="A280" s="25" t="s">
        <v>48</v>
      </c>
      <c r="B280" s="12">
        <v>283</v>
      </c>
      <c r="C280" s="12">
        <v>132.16</v>
      </c>
      <c r="D280" s="12">
        <v>91.72</v>
      </c>
      <c r="E280" s="11">
        <f t="shared" si="4"/>
        <v>11444.519999999999</v>
      </c>
    </row>
    <row r="281" spans="1:5" ht="15" thickBot="1">
      <c r="A281" s="24" t="s">
        <v>22</v>
      </c>
      <c r="B281" s="21">
        <v>487</v>
      </c>
      <c r="C281" s="21">
        <v>317.85000000000002</v>
      </c>
      <c r="D281" s="21">
        <v>281.77</v>
      </c>
      <c r="E281" s="11">
        <f t="shared" si="4"/>
        <v>17570.960000000021</v>
      </c>
    </row>
    <row r="282" spans="1:5" ht="15" thickBot="1">
      <c r="A282" s="25" t="s">
        <v>48</v>
      </c>
      <c r="B282" s="12">
        <v>329</v>
      </c>
      <c r="C282" s="12">
        <v>33.94</v>
      </c>
      <c r="D282" s="12">
        <v>23.02</v>
      </c>
      <c r="E282" s="11">
        <f t="shared" si="4"/>
        <v>3592.6799999999994</v>
      </c>
    </row>
    <row r="283" spans="1:5" ht="15" thickBot="1">
      <c r="A283" s="24" t="s">
        <v>17</v>
      </c>
      <c r="B283" s="21">
        <v>347</v>
      </c>
      <c r="C283" s="21">
        <v>75.180000000000007</v>
      </c>
      <c r="D283" s="21">
        <v>195.67</v>
      </c>
      <c r="E283" s="11">
        <f t="shared" si="4"/>
        <v>-41810.029999999992</v>
      </c>
    </row>
    <row r="284" spans="1:5" ht="15" thickBot="1">
      <c r="A284" s="25" t="s">
        <v>17</v>
      </c>
      <c r="B284" s="12">
        <v>375</v>
      </c>
      <c r="C284" s="12">
        <v>140.9</v>
      </c>
      <c r="D284" s="12">
        <v>240.55</v>
      </c>
      <c r="E284" s="11">
        <f t="shared" si="4"/>
        <v>-37368.75</v>
      </c>
    </row>
    <row r="285" spans="1:5" ht="15" thickBot="1">
      <c r="A285" s="24" t="s">
        <v>48</v>
      </c>
      <c r="B285" s="21">
        <v>104</v>
      </c>
      <c r="C285" s="21">
        <v>300.54000000000002</v>
      </c>
      <c r="D285" s="21">
        <v>241.65</v>
      </c>
      <c r="E285" s="11">
        <f t="shared" si="4"/>
        <v>6124.5600000000013</v>
      </c>
    </row>
    <row r="286" spans="1:5" ht="15" thickBot="1">
      <c r="A286" s="25" t="s">
        <v>11</v>
      </c>
      <c r="B286" s="12">
        <v>175</v>
      </c>
      <c r="C286" s="12">
        <v>339.54</v>
      </c>
      <c r="D286" s="12">
        <v>11.13</v>
      </c>
      <c r="E286" s="11">
        <f t="shared" si="4"/>
        <v>57471.750000000007</v>
      </c>
    </row>
    <row r="287" spans="1:5" ht="15" thickBot="1">
      <c r="A287" s="24" t="s">
        <v>48</v>
      </c>
      <c r="B287" s="21">
        <v>41</v>
      </c>
      <c r="C287" s="21">
        <v>224.14</v>
      </c>
      <c r="D287" s="21">
        <v>130.19999999999999</v>
      </c>
      <c r="E287" s="11">
        <f t="shared" si="4"/>
        <v>3851.54</v>
      </c>
    </row>
    <row r="288" spans="1:5" ht="15" thickBot="1">
      <c r="A288" s="25" t="s">
        <v>11</v>
      </c>
      <c r="B288" s="12">
        <v>20</v>
      </c>
      <c r="C288" s="12">
        <v>225.67</v>
      </c>
      <c r="D288" s="12">
        <v>255.32</v>
      </c>
      <c r="E288" s="11">
        <f t="shared" si="4"/>
        <v>-593.00000000000011</v>
      </c>
    </row>
    <row r="289" spans="1:5" ht="15" thickBot="1">
      <c r="A289" s="24" t="s">
        <v>22</v>
      </c>
      <c r="B289" s="21">
        <v>310</v>
      </c>
      <c r="C289" s="21">
        <v>363.64</v>
      </c>
      <c r="D289" s="21">
        <v>61.3</v>
      </c>
      <c r="E289" s="11">
        <f t="shared" si="4"/>
        <v>93725.4</v>
      </c>
    </row>
    <row r="290" spans="1:5" ht="15" thickBot="1">
      <c r="A290" s="25" t="s">
        <v>22</v>
      </c>
      <c r="B290" s="12">
        <v>226</v>
      </c>
      <c r="C290" s="12"/>
      <c r="D290" s="12">
        <v>278.77999999999997</v>
      </c>
      <c r="E290" s="11">
        <f t="shared" si="4"/>
        <v>-63004.279999999992</v>
      </c>
    </row>
    <row r="291" spans="1:5" ht="15" thickBot="1">
      <c r="A291" s="24" t="s">
        <v>22</v>
      </c>
      <c r="B291" s="21"/>
      <c r="C291" s="21">
        <v>173.84</v>
      </c>
      <c r="D291" s="21">
        <v>298.88</v>
      </c>
      <c r="E291" s="11">
        <f t="shared" si="4"/>
        <v>0</v>
      </c>
    </row>
    <row r="292" spans="1:5" ht="15" thickBot="1">
      <c r="A292" s="25" t="s">
        <v>17</v>
      </c>
      <c r="B292" s="12">
        <v>111</v>
      </c>
      <c r="C292" s="12">
        <v>410.26</v>
      </c>
      <c r="D292" s="12">
        <v>392.82</v>
      </c>
      <c r="E292" s="11">
        <f t="shared" si="4"/>
        <v>1935.8399999999997</v>
      </c>
    </row>
    <row r="293" spans="1:5" ht="15" thickBot="1">
      <c r="A293" s="24" t="s">
        <v>22</v>
      </c>
      <c r="B293" s="21">
        <v>434</v>
      </c>
      <c r="C293" s="21">
        <v>303.58999999999997</v>
      </c>
      <c r="D293" s="21">
        <v>85.52</v>
      </c>
      <c r="E293" s="11">
        <f t="shared" si="4"/>
        <v>94642.37999999999</v>
      </c>
    </row>
    <row r="294" spans="1:5" ht="15" thickBot="1">
      <c r="A294" s="25" t="s">
        <v>11</v>
      </c>
      <c r="B294" s="12">
        <v>401</v>
      </c>
      <c r="C294" s="12">
        <v>171.93</v>
      </c>
      <c r="D294" s="12">
        <v>330.4</v>
      </c>
      <c r="E294" s="11">
        <f t="shared" si="4"/>
        <v>-63546.469999999987</v>
      </c>
    </row>
    <row r="295" spans="1:5" ht="15" thickBot="1">
      <c r="A295" s="24" t="s">
        <v>22</v>
      </c>
      <c r="B295" s="21">
        <v>276</v>
      </c>
      <c r="C295" s="21">
        <v>453.23</v>
      </c>
      <c r="D295" s="21">
        <v>209.08</v>
      </c>
      <c r="E295" s="11">
        <f t="shared" si="4"/>
        <v>67385.400000000009</v>
      </c>
    </row>
    <row r="296" spans="1:5" ht="15" thickBot="1">
      <c r="A296" s="25" t="s">
        <v>48</v>
      </c>
      <c r="B296" s="12"/>
      <c r="C296" s="12">
        <v>387.45</v>
      </c>
      <c r="D296" s="12">
        <v>150.63999999999999</v>
      </c>
      <c r="E296" s="11">
        <f t="shared" si="4"/>
        <v>0</v>
      </c>
    </row>
    <row r="297" spans="1:5" ht="15" thickBot="1">
      <c r="A297" s="24" t="s">
        <v>48</v>
      </c>
      <c r="B297" s="21">
        <v>188</v>
      </c>
      <c r="C297" s="21">
        <v>136.12</v>
      </c>
      <c r="D297" s="21">
        <v>50.71</v>
      </c>
      <c r="E297" s="11">
        <f t="shared" si="4"/>
        <v>16057.08</v>
      </c>
    </row>
    <row r="298" spans="1:5" ht="15" thickBot="1">
      <c r="A298" s="25" t="s">
        <v>17</v>
      </c>
      <c r="B298" s="12">
        <v>97</v>
      </c>
      <c r="C298" s="12">
        <v>324.42</v>
      </c>
      <c r="D298" s="12">
        <v>294.73</v>
      </c>
      <c r="E298" s="11">
        <f t="shared" si="4"/>
        <v>2879.93</v>
      </c>
    </row>
    <row r="299" spans="1:5" ht="15" thickBot="1">
      <c r="A299" s="24" t="s">
        <v>48</v>
      </c>
      <c r="B299" s="21">
        <v>50</v>
      </c>
      <c r="C299" s="21">
        <v>299.89999999999998</v>
      </c>
      <c r="D299" s="21">
        <v>95.87</v>
      </c>
      <c r="E299" s="11">
        <f t="shared" si="4"/>
        <v>10201.499999999998</v>
      </c>
    </row>
    <row r="300" spans="1:5" ht="15" thickBot="1">
      <c r="A300" s="25" t="s">
        <v>11</v>
      </c>
      <c r="B300" s="12">
        <v>410</v>
      </c>
      <c r="C300" s="12">
        <v>203.59</v>
      </c>
      <c r="D300" s="12">
        <v>149.83000000000001</v>
      </c>
      <c r="E300" s="11">
        <f t="shared" si="4"/>
        <v>22041.599999999995</v>
      </c>
    </row>
    <row r="301" spans="1:5" ht="15" thickBot="1">
      <c r="A301" s="24" t="s">
        <v>22</v>
      </c>
      <c r="B301" s="21">
        <v>85</v>
      </c>
      <c r="C301" s="21">
        <v>186.64</v>
      </c>
      <c r="D301" s="21">
        <v>26.89</v>
      </c>
      <c r="E301" s="11">
        <f t="shared" si="4"/>
        <v>13578.75</v>
      </c>
    </row>
    <row r="302" spans="1:5" ht="15" thickBot="1">
      <c r="A302" s="25" t="s">
        <v>17</v>
      </c>
      <c r="B302" s="12">
        <v>386</v>
      </c>
      <c r="C302" s="12">
        <v>175.06</v>
      </c>
      <c r="D302" s="12">
        <v>320.94</v>
      </c>
      <c r="E302" s="11">
        <f t="shared" si="4"/>
        <v>-56309.68</v>
      </c>
    </row>
    <row r="303" spans="1:5" ht="15" thickBot="1">
      <c r="A303" s="24" t="s">
        <v>22</v>
      </c>
      <c r="B303" s="21">
        <v>55</v>
      </c>
      <c r="C303" s="21">
        <v>310.49</v>
      </c>
      <c r="D303" s="21">
        <v>307.10000000000002</v>
      </c>
      <c r="E303" s="11">
        <f t="shared" si="4"/>
        <v>186.44999999999925</v>
      </c>
    </row>
    <row r="304" spans="1:5" ht="15" thickBot="1">
      <c r="A304" s="25" t="s">
        <v>22</v>
      </c>
      <c r="B304" s="12">
        <v>169</v>
      </c>
      <c r="C304" s="12">
        <v>223.99</v>
      </c>
      <c r="D304" s="12">
        <v>293.98</v>
      </c>
      <c r="E304" s="11">
        <f t="shared" si="4"/>
        <v>-11828.310000000001</v>
      </c>
    </row>
    <row r="305" spans="1:5" ht="15" thickBot="1">
      <c r="A305" s="24" t="s">
        <v>11</v>
      </c>
      <c r="B305" s="21">
        <v>472</v>
      </c>
      <c r="C305" s="21">
        <v>416.77</v>
      </c>
      <c r="D305" s="21">
        <v>121.18</v>
      </c>
      <c r="E305" s="11">
        <f t="shared" si="4"/>
        <v>139518.47999999998</v>
      </c>
    </row>
    <row r="306" spans="1:5" ht="15" thickBot="1">
      <c r="A306" s="25" t="s">
        <v>48</v>
      </c>
      <c r="B306" s="12">
        <v>89</v>
      </c>
      <c r="C306" s="12">
        <v>336.45</v>
      </c>
      <c r="D306" s="12">
        <v>71.05</v>
      </c>
      <c r="E306" s="11">
        <f t="shared" si="4"/>
        <v>23620.6</v>
      </c>
    </row>
    <row r="307" spans="1:5" ht="15" thickBot="1">
      <c r="A307" s="24" t="s">
        <v>48</v>
      </c>
      <c r="B307" s="21">
        <v>319</v>
      </c>
      <c r="C307" s="21">
        <v>39.619999999999997</v>
      </c>
      <c r="D307" s="21">
        <v>255.75</v>
      </c>
      <c r="E307" s="11">
        <f t="shared" si="4"/>
        <v>-68945.47</v>
      </c>
    </row>
    <row r="308" spans="1:5" ht="15" thickBot="1">
      <c r="A308" s="25" t="s">
        <v>22</v>
      </c>
      <c r="B308" s="12">
        <v>95</v>
      </c>
      <c r="C308" s="12">
        <v>321.88</v>
      </c>
      <c r="D308" s="12">
        <v>199.47</v>
      </c>
      <c r="E308" s="11">
        <f t="shared" si="4"/>
        <v>11628.949999999999</v>
      </c>
    </row>
    <row r="309" spans="1:5" ht="15" thickBot="1">
      <c r="A309" s="24" t="s">
        <v>17</v>
      </c>
      <c r="B309" s="21">
        <v>101</v>
      </c>
      <c r="C309" s="21">
        <v>139.22</v>
      </c>
      <c r="D309" s="21">
        <v>72.94</v>
      </c>
      <c r="E309" s="11">
        <f t="shared" si="4"/>
        <v>6694.28</v>
      </c>
    </row>
    <row r="310" spans="1:5" ht="15" thickBot="1">
      <c r="A310" s="25" t="s">
        <v>48</v>
      </c>
      <c r="B310" s="12">
        <v>157</v>
      </c>
      <c r="C310" s="12"/>
      <c r="D310" s="12">
        <v>274.99</v>
      </c>
      <c r="E310" s="11">
        <f t="shared" si="4"/>
        <v>-43173.43</v>
      </c>
    </row>
    <row r="311" spans="1:5" ht="15" thickBot="1">
      <c r="A311" s="24" t="s">
        <v>17</v>
      </c>
      <c r="B311" s="21">
        <v>170</v>
      </c>
      <c r="C311" s="21">
        <v>341.67</v>
      </c>
      <c r="D311" s="21">
        <v>396.47</v>
      </c>
      <c r="E311" s="11">
        <f t="shared" si="4"/>
        <v>-9316.0000000000018</v>
      </c>
    </row>
    <row r="312" spans="1:5" ht="15" thickBot="1">
      <c r="A312" s="25" t="s">
        <v>48</v>
      </c>
      <c r="B312" s="12">
        <v>211</v>
      </c>
      <c r="C312" s="12">
        <v>119.26</v>
      </c>
      <c r="D312" s="12">
        <v>299.39</v>
      </c>
      <c r="E312" s="11">
        <f t="shared" si="4"/>
        <v>-38007.43</v>
      </c>
    </row>
    <row r="313" spans="1:5" ht="15" thickBot="1">
      <c r="A313" s="24" t="s">
        <v>17</v>
      </c>
      <c r="B313" s="21">
        <v>433</v>
      </c>
      <c r="C313" s="21">
        <v>231.15</v>
      </c>
      <c r="D313" s="21">
        <v>296.51</v>
      </c>
      <c r="E313" s="11">
        <f t="shared" si="4"/>
        <v>-28300.879999999994</v>
      </c>
    </row>
    <row r="314" spans="1:5" ht="15" thickBot="1">
      <c r="A314" s="25" t="s">
        <v>11</v>
      </c>
      <c r="B314" s="12">
        <v>425</v>
      </c>
      <c r="C314" s="12">
        <v>99.21</v>
      </c>
      <c r="D314" s="12">
        <v>380.22</v>
      </c>
      <c r="E314" s="11">
        <f t="shared" si="4"/>
        <v>-119429.25000000001</v>
      </c>
    </row>
    <row r="315" spans="1:5" ht="15" thickBot="1">
      <c r="A315" s="24" t="s">
        <v>17</v>
      </c>
      <c r="B315" s="21">
        <v>251</v>
      </c>
      <c r="C315" s="21">
        <v>30.91</v>
      </c>
      <c r="D315" s="21">
        <v>82.77</v>
      </c>
      <c r="E315" s="11">
        <f t="shared" si="4"/>
        <v>-13016.86</v>
      </c>
    </row>
    <row r="316" spans="1:5" ht="15" thickBot="1">
      <c r="A316" s="25" t="s">
        <v>11</v>
      </c>
      <c r="B316" s="12"/>
      <c r="C316" s="12">
        <v>192.35</v>
      </c>
      <c r="D316" s="12">
        <v>227.09</v>
      </c>
      <c r="E316" s="11">
        <f t="shared" si="4"/>
        <v>0</v>
      </c>
    </row>
    <row r="317" spans="1:5" ht="15" thickBot="1">
      <c r="A317" s="24" t="s">
        <v>11</v>
      </c>
      <c r="B317" s="21">
        <v>11</v>
      </c>
      <c r="C317" s="21">
        <v>184.66</v>
      </c>
      <c r="D317" s="21">
        <v>391.9</v>
      </c>
      <c r="E317" s="11">
        <f t="shared" si="4"/>
        <v>-2279.64</v>
      </c>
    </row>
    <row r="318" spans="1:5" ht="15" thickBot="1">
      <c r="A318" s="25" t="s">
        <v>17</v>
      </c>
      <c r="B318" s="12">
        <v>234</v>
      </c>
      <c r="C318" s="12">
        <v>497.76</v>
      </c>
      <c r="D318" s="12">
        <v>67.790000000000006</v>
      </c>
      <c r="E318" s="11">
        <f t="shared" si="4"/>
        <v>100612.98</v>
      </c>
    </row>
    <row r="319" spans="1:5" ht="15" thickBot="1">
      <c r="A319" s="24" t="s">
        <v>11</v>
      </c>
      <c r="B319" s="21"/>
      <c r="C319" s="21">
        <v>225.94</v>
      </c>
      <c r="D319" s="21">
        <v>280.7</v>
      </c>
      <c r="E319" s="11">
        <f t="shared" si="4"/>
        <v>0</v>
      </c>
    </row>
    <row r="320" spans="1:5" ht="15" thickBot="1">
      <c r="A320" s="25" t="s">
        <v>22</v>
      </c>
      <c r="B320" s="12">
        <v>242</v>
      </c>
      <c r="C320" s="12">
        <v>170.12</v>
      </c>
      <c r="D320" s="12">
        <v>235.15</v>
      </c>
      <c r="E320" s="11">
        <f t="shared" si="4"/>
        <v>-15737.26</v>
      </c>
    </row>
    <row r="321" spans="1:5" ht="15" thickBot="1">
      <c r="A321" s="24" t="s">
        <v>11</v>
      </c>
      <c r="B321" s="21">
        <v>470</v>
      </c>
      <c r="C321" s="21">
        <v>292.33999999999997</v>
      </c>
      <c r="D321" s="21">
        <v>235.42</v>
      </c>
      <c r="E321" s="11">
        <f t="shared" si="4"/>
        <v>26752.399999999994</v>
      </c>
    </row>
    <row r="322" spans="1:5" ht="15" thickBot="1">
      <c r="A322" s="25" t="s">
        <v>48</v>
      </c>
      <c r="B322" s="12">
        <v>423</v>
      </c>
      <c r="C322" s="12">
        <v>48.94</v>
      </c>
      <c r="D322" s="12">
        <v>279.67</v>
      </c>
      <c r="E322" s="11">
        <f t="shared" si="4"/>
        <v>-97598.790000000008</v>
      </c>
    </row>
    <row r="323" spans="1:5" ht="15" thickBot="1">
      <c r="A323" s="24" t="s">
        <v>17</v>
      </c>
      <c r="B323" s="21">
        <v>426</v>
      </c>
      <c r="C323" s="21">
        <v>481.02</v>
      </c>
      <c r="D323" s="21">
        <v>371.99</v>
      </c>
      <c r="E323" s="11">
        <f t="shared" si="4"/>
        <v>46446.779999999992</v>
      </c>
    </row>
    <row r="324" spans="1:5" ht="15" thickBot="1">
      <c r="A324" s="25" t="s">
        <v>22</v>
      </c>
      <c r="B324" s="12">
        <v>86</v>
      </c>
      <c r="C324" s="12">
        <v>319.31</v>
      </c>
      <c r="D324" s="12">
        <v>313.47000000000003</v>
      </c>
      <c r="E324" s="11">
        <f t="shared" ref="E324:E352" si="5">(C324-D324)*B324</f>
        <v>502.23999999999785</v>
      </c>
    </row>
    <row r="325" spans="1:5" ht="15" thickBot="1">
      <c r="A325" s="24" t="s">
        <v>17</v>
      </c>
      <c r="B325" s="21">
        <v>125</v>
      </c>
      <c r="C325" s="21">
        <v>378.64</v>
      </c>
      <c r="D325" s="21">
        <v>24.34</v>
      </c>
      <c r="E325" s="11">
        <f t="shared" si="5"/>
        <v>44287.5</v>
      </c>
    </row>
    <row r="326" spans="1:5" ht="15" thickBot="1">
      <c r="A326" s="25" t="s">
        <v>48</v>
      </c>
      <c r="B326" s="12">
        <v>163</v>
      </c>
      <c r="C326" s="12">
        <v>89.39</v>
      </c>
      <c r="D326" s="12">
        <v>341.39</v>
      </c>
      <c r="E326" s="11">
        <f t="shared" si="5"/>
        <v>-41076</v>
      </c>
    </row>
    <row r="327" spans="1:5" ht="15" thickBot="1">
      <c r="A327" s="24" t="s">
        <v>48</v>
      </c>
      <c r="B327" s="21">
        <v>415</v>
      </c>
      <c r="C327" s="21">
        <v>207.69</v>
      </c>
      <c r="D327" s="21">
        <v>91.77</v>
      </c>
      <c r="E327" s="11">
        <f t="shared" si="5"/>
        <v>48106.8</v>
      </c>
    </row>
    <row r="328" spans="1:5" ht="15" thickBot="1">
      <c r="A328" s="25" t="s">
        <v>48</v>
      </c>
      <c r="B328" s="12">
        <v>112</v>
      </c>
      <c r="C328" s="12">
        <v>214.23</v>
      </c>
      <c r="D328" s="12">
        <v>152.01</v>
      </c>
      <c r="E328" s="11">
        <f t="shared" si="5"/>
        <v>6968.6399999999994</v>
      </c>
    </row>
    <row r="329" spans="1:5" ht="15" thickBot="1">
      <c r="A329" s="24" t="s">
        <v>11</v>
      </c>
      <c r="B329" s="21">
        <v>203</v>
      </c>
      <c r="C329" s="21">
        <v>411.79</v>
      </c>
      <c r="D329" s="21">
        <v>185.77</v>
      </c>
      <c r="E329" s="11">
        <f t="shared" si="5"/>
        <v>45882.060000000005</v>
      </c>
    </row>
    <row r="330" spans="1:5" ht="15" thickBot="1">
      <c r="A330" s="25" t="s">
        <v>11</v>
      </c>
      <c r="B330" s="12"/>
      <c r="C330" s="12">
        <v>5.61</v>
      </c>
      <c r="D330" s="12">
        <v>193.4</v>
      </c>
      <c r="E330" s="11">
        <f t="shared" si="5"/>
        <v>0</v>
      </c>
    </row>
    <row r="331" spans="1:5" ht="15" thickBot="1">
      <c r="A331" s="24" t="s">
        <v>17</v>
      </c>
      <c r="B331" s="21">
        <v>368</v>
      </c>
      <c r="C331" s="21">
        <v>153.91999999999999</v>
      </c>
      <c r="D331" s="21">
        <v>175.2</v>
      </c>
      <c r="E331" s="11">
        <f t="shared" si="5"/>
        <v>-7831.0400000000009</v>
      </c>
    </row>
    <row r="332" spans="1:5" ht="15" thickBot="1">
      <c r="A332" s="25" t="s">
        <v>17</v>
      </c>
      <c r="B332" s="12">
        <v>99</v>
      </c>
      <c r="C332" s="12">
        <v>490.71</v>
      </c>
      <c r="D332" s="12">
        <v>375.07</v>
      </c>
      <c r="E332" s="11">
        <f t="shared" si="5"/>
        <v>11448.359999999999</v>
      </c>
    </row>
    <row r="333" spans="1:5" ht="15" thickBot="1">
      <c r="A333" s="24" t="s">
        <v>22</v>
      </c>
      <c r="B333" s="21">
        <v>183</v>
      </c>
      <c r="C333" s="21">
        <v>240.07</v>
      </c>
      <c r="D333" s="21">
        <v>283</v>
      </c>
      <c r="E333" s="11">
        <f t="shared" si="5"/>
        <v>-7856.1900000000014</v>
      </c>
    </row>
    <row r="334" spans="1:5" ht="15" thickBot="1">
      <c r="A334" s="25"/>
      <c r="B334" s="12">
        <v>131</v>
      </c>
      <c r="C334" s="12">
        <v>194.35</v>
      </c>
      <c r="D334" s="12">
        <v>253.21</v>
      </c>
      <c r="E334" s="11">
        <f t="shared" si="5"/>
        <v>-7710.6600000000017</v>
      </c>
    </row>
    <row r="335" spans="1:5" ht="15" thickBot="1">
      <c r="A335" s="24" t="s">
        <v>17</v>
      </c>
      <c r="B335" s="21">
        <v>152</v>
      </c>
      <c r="C335" s="21">
        <v>64.319999999999993</v>
      </c>
      <c r="D335" s="21">
        <v>21.84</v>
      </c>
      <c r="E335" s="11">
        <f t="shared" si="5"/>
        <v>6456.9599999999982</v>
      </c>
    </row>
    <row r="336" spans="1:5" ht="15" thickBot="1">
      <c r="A336" s="25" t="s">
        <v>11</v>
      </c>
      <c r="B336" s="12">
        <v>491</v>
      </c>
      <c r="C336" s="12">
        <v>487.21</v>
      </c>
      <c r="D336" s="12">
        <v>361.76</v>
      </c>
      <c r="E336" s="11">
        <f t="shared" si="5"/>
        <v>61595.95</v>
      </c>
    </row>
    <row r="337" spans="1:5" ht="15" thickBot="1">
      <c r="A337" s="24" t="s">
        <v>48</v>
      </c>
      <c r="B337" s="21">
        <v>115</v>
      </c>
      <c r="C337" s="21">
        <v>14.91</v>
      </c>
      <c r="D337" s="21">
        <v>363.94</v>
      </c>
      <c r="E337" s="11">
        <f t="shared" si="5"/>
        <v>-40138.449999999997</v>
      </c>
    </row>
    <row r="338" spans="1:5" ht="15" thickBot="1">
      <c r="A338" s="25" t="s">
        <v>17</v>
      </c>
      <c r="B338" s="12">
        <v>384</v>
      </c>
      <c r="C338" s="12">
        <v>369.9</v>
      </c>
      <c r="D338" s="12">
        <v>312.52</v>
      </c>
      <c r="E338" s="11">
        <f t="shared" si="5"/>
        <v>22033.919999999998</v>
      </c>
    </row>
    <row r="339" spans="1:5" ht="15" thickBot="1">
      <c r="A339" s="24" t="s">
        <v>22</v>
      </c>
      <c r="B339" s="21">
        <v>437</v>
      </c>
      <c r="C339" s="21">
        <v>385.46</v>
      </c>
      <c r="D339" s="21">
        <v>4.8</v>
      </c>
      <c r="E339" s="11">
        <f t="shared" si="5"/>
        <v>166348.41999999998</v>
      </c>
    </row>
    <row r="340" spans="1:5" ht="15" thickBot="1">
      <c r="A340" s="25" t="s">
        <v>11</v>
      </c>
      <c r="B340" s="12">
        <v>314</v>
      </c>
      <c r="C340" s="12">
        <v>125.61</v>
      </c>
      <c r="D340" s="12">
        <v>24.8</v>
      </c>
      <c r="E340" s="11">
        <f t="shared" si="5"/>
        <v>31654.34</v>
      </c>
    </row>
    <row r="341" spans="1:5" ht="15" thickBot="1">
      <c r="A341" s="24" t="s">
        <v>17</v>
      </c>
      <c r="B341" s="21">
        <v>369</v>
      </c>
      <c r="C341" s="21">
        <v>337.42</v>
      </c>
      <c r="D341" s="21">
        <v>91.64</v>
      </c>
      <c r="E341" s="11">
        <f t="shared" si="5"/>
        <v>90692.82</v>
      </c>
    </row>
    <row r="342" spans="1:5" ht="15" thickBot="1">
      <c r="A342" s="25" t="s">
        <v>17</v>
      </c>
      <c r="B342" s="12">
        <v>468</v>
      </c>
      <c r="C342" s="12">
        <v>51</v>
      </c>
      <c r="D342" s="12">
        <v>54.28</v>
      </c>
      <c r="E342" s="11">
        <f t="shared" si="5"/>
        <v>-1535.0400000000004</v>
      </c>
    </row>
    <row r="343" spans="1:5" ht="15" thickBot="1">
      <c r="A343" s="24" t="s">
        <v>11</v>
      </c>
      <c r="B343" s="21">
        <v>326</v>
      </c>
      <c r="C343" s="21">
        <v>132.24</v>
      </c>
      <c r="D343" s="21">
        <v>160.74</v>
      </c>
      <c r="E343" s="11">
        <f t="shared" si="5"/>
        <v>-9291</v>
      </c>
    </row>
    <row r="344" spans="1:5" ht="15" thickBot="1">
      <c r="A344" s="25" t="s">
        <v>17</v>
      </c>
      <c r="B344" s="12">
        <v>460</v>
      </c>
      <c r="C344" s="12">
        <v>395.01</v>
      </c>
      <c r="D344" s="12">
        <v>369.2</v>
      </c>
      <c r="E344" s="11">
        <f t="shared" si="5"/>
        <v>11872.6</v>
      </c>
    </row>
    <row r="345" spans="1:5" ht="15" thickBot="1">
      <c r="A345" s="24" t="s">
        <v>11</v>
      </c>
      <c r="B345" s="21">
        <v>132</v>
      </c>
      <c r="C345" s="21">
        <v>433.02</v>
      </c>
      <c r="D345" s="21">
        <v>189.88</v>
      </c>
      <c r="E345" s="11">
        <f t="shared" si="5"/>
        <v>32094.48</v>
      </c>
    </row>
    <row r="346" spans="1:5" ht="15" thickBot="1">
      <c r="A346" s="25" t="s">
        <v>48</v>
      </c>
      <c r="B346" s="12">
        <v>399</v>
      </c>
      <c r="C346" s="12">
        <v>306.2</v>
      </c>
      <c r="D346" s="12">
        <v>7.33</v>
      </c>
      <c r="E346" s="11">
        <f t="shared" si="5"/>
        <v>119249.13</v>
      </c>
    </row>
    <row r="347" spans="1:5" ht="15" thickBot="1">
      <c r="A347" s="24" t="s">
        <v>11</v>
      </c>
      <c r="B347" s="21">
        <v>18</v>
      </c>
      <c r="C347" s="21">
        <v>255.89</v>
      </c>
      <c r="D347" s="21">
        <v>114.53</v>
      </c>
      <c r="E347" s="11">
        <f t="shared" si="5"/>
        <v>2544.4799999999996</v>
      </c>
    </row>
    <row r="348" spans="1:5" ht="15" thickBot="1">
      <c r="A348" s="25" t="s">
        <v>11</v>
      </c>
      <c r="B348" s="12">
        <v>271</v>
      </c>
      <c r="C348" s="12">
        <v>83.86</v>
      </c>
      <c r="D348" s="12">
        <v>19.75</v>
      </c>
      <c r="E348" s="11">
        <f t="shared" si="5"/>
        <v>17373.810000000001</v>
      </c>
    </row>
    <row r="349" spans="1:5" ht="15" thickBot="1">
      <c r="A349" s="24"/>
      <c r="B349" s="21">
        <v>82</v>
      </c>
      <c r="C349" s="21">
        <v>36.24</v>
      </c>
      <c r="D349" s="21">
        <v>16.440000000000001</v>
      </c>
      <c r="E349" s="11">
        <f t="shared" si="5"/>
        <v>1623.6000000000001</v>
      </c>
    </row>
    <row r="350" spans="1:5" ht="15" thickBot="1">
      <c r="A350" s="25" t="s">
        <v>17</v>
      </c>
      <c r="B350" s="12">
        <v>368</v>
      </c>
      <c r="C350" s="12">
        <v>63.24</v>
      </c>
      <c r="D350" s="12">
        <v>111.74</v>
      </c>
      <c r="E350" s="11">
        <f t="shared" si="5"/>
        <v>-17847.999999999996</v>
      </c>
    </row>
    <row r="351" spans="1:5" ht="15" thickBot="1">
      <c r="A351" s="24" t="s">
        <v>17</v>
      </c>
      <c r="B351" s="21">
        <v>232</v>
      </c>
      <c r="C351" s="21">
        <v>117.54</v>
      </c>
      <c r="D351" s="21">
        <v>111.69</v>
      </c>
      <c r="E351" s="11">
        <f t="shared" si="5"/>
        <v>1357.2000000000021</v>
      </c>
    </row>
    <row r="352" spans="1:5" ht="15" thickBot="1">
      <c r="A352" s="25" t="s">
        <v>11</v>
      </c>
      <c r="B352" s="12">
        <v>425</v>
      </c>
      <c r="C352" s="12">
        <v>174.13</v>
      </c>
      <c r="D352" s="12">
        <v>315.27999999999997</v>
      </c>
      <c r="E352" s="11">
        <f t="shared" si="5"/>
        <v>-59988.749999999993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9302-7CB8-41CD-9C7D-B7CD98E07AE8}">
  <dimension ref="A1:G352"/>
  <sheetViews>
    <sheetView workbookViewId="0">
      <selection activeCell="G2" sqref="G2:G4"/>
    </sheetView>
  </sheetViews>
  <sheetFormatPr defaultRowHeight="14.4"/>
  <cols>
    <col min="1" max="1" width="12.77734375" bestFit="1" customWidth="1"/>
    <col min="2" max="2" width="13.88671875" bestFit="1" customWidth="1"/>
    <col min="3" max="3" width="13.5546875" bestFit="1" customWidth="1"/>
    <col min="4" max="4" width="13.109375" bestFit="1" customWidth="1"/>
    <col min="5" max="5" width="13.6640625" customWidth="1"/>
    <col min="7" max="7" width="12.6640625" bestFit="1" customWidth="1"/>
  </cols>
  <sheetData>
    <row r="1" spans="1:7">
      <c r="A1" s="27" t="s">
        <v>407</v>
      </c>
    </row>
    <row r="2" spans="1:7" ht="15" thickBot="1">
      <c r="A2" s="28" t="s">
        <v>1</v>
      </c>
      <c r="B2" s="29" t="s">
        <v>7</v>
      </c>
      <c r="C2" s="29" t="s">
        <v>8</v>
      </c>
      <c r="D2" s="29" t="s">
        <v>9</v>
      </c>
      <c r="E2" s="31" t="s">
        <v>405</v>
      </c>
      <c r="G2" s="26" t="s">
        <v>407</v>
      </c>
    </row>
    <row r="3" spans="1:7" ht="15" hidden="1" thickBot="1">
      <c r="A3" s="24" t="s">
        <v>11</v>
      </c>
      <c r="B3" s="21">
        <v>235</v>
      </c>
      <c r="C3" s="21">
        <v>152.91999999999999</v>
      </c>
      <c r="D3" s="21">
        <v>153.6</v>
      </c>
      <c r="E3" s="13">
        <f>(Table10[[#This Row],[Unit Price]]-Table10[[#This Row],[Unit Cost]])*Table10[[#This Row],[Units Sold]]</f>
        <v>-159.8000000000016</v>
      </c>
      <c r="G3" s="26"/>
    </row>
    <row r="4" spans="1:7" ht="15" thickBot="1">
      <c r="A4" s="25" t="s">
        <v>17</v>
      </c>
      <c r="B4" s="12">
        <v>341</v>
      </c>
      <c r="C4" s="12">
        <v>467.92</v>
      </c>
      <c r="D4" s="12">
        <v>139.84</v>
      </c>
      <c r="E4" s="12">
        <f>(Table10[[#This Row],[Unit Price]]-Table10[[#This Row],[Unit Cost]])*Table10[[#This Row],[Units Sold]]</f>
        <v>111875.28000000001</v>
      </c>
      <c r="G4" s="26">
        <f>AVERAGEIF(A4:A351,"West",E4:E351)</f>
        <v>10632.104791666659</v>
      </c>
    </row>
    <row r="5" spans="1:7" ht="15" hidden="1" thickBot="1">
      <c r="A5" s="24" t="s">
        <v>22</v>
      </c>
      <c r="B5" s="21">
        <v>179</v>
      </c>
      <c r="C5" s="21">
        <v>473.94</v>
      </c>
      <c r="D5" s="21">
        <v>97.14</v>
      </c>
      <c r="E5" s="12">
        <f>(Table10[[#This Row],[Unit Price]]-Table10[[#This Row],[Unit Cost]])*Table10[[#This Row],[Units Sold]]</f>
        <v>67447.199999999997</v>
      </c>
    </row>
    <row r="6" spans="1:7" ht="15" hidden="1" thickBot="1">
      <c r="A6" s="25" t="s">
        <v>11</v>
      </c>
      <c r="B6" s="12">
        <v>18</v>
      </c>
      <c r="C6" s="12">
        <v>314.52999999999997</v>
      </c>
      <c r="D6" s="12">
        <v>204.87</v>
      </c>
      <c r="E6" s="12">
        <f>(Table10[[#This Row],[Unit Price]]-Table10[[#This Row],[Unit Cost]])*Table10[[#This Row],[Units Sold]]</f>
        <v>1973.8799999999994</v>
      </c>
    </row>
    <row r="7" spans="1:7" ht="15" hidden="1" thickBot="1">
      <c r="A7" s="24" t="s">
        <v>11</v>
      </c>
      <c r="B7" s="21">
        <v>472</v>
      </c>
      <c r="C7" s="21">
        <v>392.79</v>
      </c>
      <c r="D7" s="21">
        <v>330.46</v>
      </c>
      <c r="E7" s="12">
        <f>(Table10[[#This Row],[Unit Price]]-Table10[[#This Row],[Unit Cost]])*Table10[[#This Row],[Units Sold]]</f>
        <v>29419.76000000002</v>
      </c>
    </row>
    <row r="8" spans="1:7" ht="15" thickBot="1">
      <c r="A8" s="25" t="s">
        <v>17</v>
      </c>
      <c r="B8" s="12">
        <v>49</v>
      </c>
      <c r="C8" s="12">
        <v>308.07</v>
      </c>
      <c r="D8" s="12">
        <v>113.32</v>
      </c>
      <c r="E8" s="12">
        <f>(Table10[[#This Row],[Unit Price]]-Table10[[#This Row],[Unit Cost]])*Table10[[#This Row],[Units Sold]]</f>
        <v>9542.75</v>
      </c>
    </row>
    <row r="9" spans="1:7" ht="15" hidden="1" thickBot="1">
      <c r="A9" s="24" t="s">
        <v>22</v>
      </c>
      <c r="B9" s="21">
        <v>34</v>
      </c>
      <c r="C9" s="21">
        <v>244.78</v>
      </c>
      <c r="D9" s="21">
        <v>377.07</v>
      </c>
      <c r="E9" s="12">
        <f>(Table10[[#This Row],[Unit Price]]-Table10[[#This Row],[Unit Cost]])*Table10[[#This Row],[Units Sold]]</f>
        <v>-4497.8599999999997</v>
      </c>
    </row>
    <row r="10" spans="1:7" ht="15" hidden="1" thickBot="1">
      <c r="A10" s="25" t="s">
        <v>22</v>
      </c>
      <c r="B10" s="12">
        <v>270</v>
      </c>
      <c r="C10" s="12">
        <v>332.11</v>
      </c>
      <c r="D10" s="12">
        <v>349.59</v>
      </c>
      <c r="E10" s="12">
        <f>(Table10[[#This Row],[Unit Price]]-Table10[[#This Row],[Unit Cost]])*Table10[[#This Row],[Units Sold]]</f>
        <v>-4719.5999999999894</v>
      </c>
    </row>
    <row r="11" spans="1:7" ht="15" hidden="1" thickBot="1">
      <c r="A11" s="24" t="s">
        <v>11</v>
      </c>
      <c r="B11" s="21">
        <v>404</v>
      </c>
      <c r="C11" s="21">
        <v>278.74</v>
      </c>
      <c r="D11" s="21">
        <v>66.38</v>
      </c>
      <c r="E11" s="12">
        <f>(Table10[[#This Row],[Unit Price]]-Table10[[#This Row],[Unit Cost]])*Table10[[#This Row],[Units Sold]]</f>
        <v>85793.44</v>
      </c>
    </row>
    <row r="12" spans="1:7" ht="15" hidden="1" thickBot="1">
      <c r="A12" s="25"/>
      <c r="B12" s="12">
        <v>452</v>
      </c>
      <c r="C12" s="12">
        <v>300.75</v>
      </c>
      <c r="D12" s="12">
        <v>314.94</v>
      </c>
      <c r="E12" s="12">
        <f>(Table10[[#This Row],[Unit Price]]-Table10[[#This Row],[Unit Cost]])*Table10[[#This Row],[Units Sold]]</f>
        <v>-6413.8799999999992</v>
      </c>
    </row>
    <row r="13" spans="1:7" ht="15" hidden="1" thickBot="1">
      <c r="A13" s="24" t="s">
        <v>11</v>
      </c>
      <c r="B13" s="21">
        <v>235</v>
      </c>
      <c r="C13" s="21">
        <v>393</v>
      </c>
      <c r="D13" s="21">
        <v>230.69</v>
      </c>
      <c r="E13" s="12">
        <f>(Table10[[#This Row],[Unit Price]]-Table10[[#This Row],[Unit Cost]])*Table10[[#This Row],[Units Sold]]</f>
        <v>38142.85</v>
      </c>
    </row>
    <row r="14" spans="1:7" ht="15" hidden="1" thickBot="1">
      <c r="A14" s="25" t="s">
        <v>11</v>
      </c>
      <c r="B14" s="12">
        <v>481</v>
      </c>
      <c r="C14" s="12">
        <v>243.05</v>
      </c>
      <c r="D14" s="12">
        <v>227.5</v>
      </c>
      <c r="E14" s="12">
        <f>(Table10[[#This Row],[Unit Price]]-Table10[[#This Row],[Unit Cost]])*Table10[[#This Row],[Units Sold]]</f>
        <v>7479.5500000000056</v>
      </c>
    </row>
    <row r="15" spans="1:7" ht="15" hidden="1" thickBot="1">
      <c r="A15" s="24" t="s">
        <v>11</v>
      </c>
      <c r="B15" s="21">
        <v>133</v>
      </c>
      <c r="C15" s="21">
        <v>25.17</v>
      </c>
      <c r="D15" s="21">
        <v>157.63999999999999</v>
      </c>
      <c r="E15" s="12">
        <f>(Table10[[#This Row],[Unit Price]]-Table10[[#This Row],[Unit Cost]])*Table10[[#This Row],[Units Sold]]</f>
        <v>-17618.509999999995</v>
      </c>
    </row>
    <row r="16" spans="1:7" ht="15" hidden="1" thickBot="1">
      <c r="A16" s="25" t="s">
        <v>11</v>
      </c>
      <c r="B16" s="12">
        <v>472</v>
      </c>
      <c r="C16" s="12">
        <v>86.18</v>
      </c>
      <c r="D16" s="12">
        <v>201.46</v>
      </c>
      <c r="E16" s="12">
        <f>(Table10[[#This Row],[Unit Price]]-Table10[[#This Row],[Unit Cost]])*Table10[[#This Row],[Units Sold]]</f>
        <v>-54412.160000000003</v>
      </c>
    </row>
    <row r="17" spans="1:5" ht="15" thickBot="1">
      <c r="A17" s="24" t="s">
        <v>17</v>
      </c>
      <c r="B17" s="21">
        <v>47</v>
      </c>
      <c r="C17" s="21">
        <v>222.11</v>
      </c>
      <c r="D17" s="21">
        <v>160.08000000000001</v>
      </c>
      <c r="E17" s="12">
        <f>(Table10[[#This Row],[Unit Price]]-Table10[[#This Row],[Unit Cost]])*Table10[[#This Row],[Units Sold]]</f>
        <v>2915.41</v>
      </c>
    </row>
    <row r="18" spans="1:5" ht="15" hidden="1" thickBot="1">
      <c r="A18" s="25" t="s">
        <v>22</v>
      </c>
      <c r="B18" s="12">
        <v>337</v>
      </c>
      <c r="C18" s="12">
        <v>363.79</v>
      </c>
      <c r="D18" s="12">
        <v>216.81</v>
      </c>
      <c r="E18" s="12">
        <f>(Table10[[#This Row],[Unit Price]]-Table10[[#This Row],[Unit Cost]])*Table10[[#This Row],[Units Sold]]</f>
        <v>49532.260000000009</v>
      </c>
    </row>
    <row r="19" spans="1:5" ht="15" thickBot="1">
      <c r="A19" s="24" t="s">
        <v>17</v>
      </c>
      <c r="B19" s="21">
        <v>260</v>
      </c>
      <c r="C19" s="21">
        <v>298.67</v>
      </c>
      <c r="D19" s="21">
        <v>251.92</v>
      </c>
      <c r="E19" s="12">
        <f>(Table10[[#This Row],[Unit Price]]-Table10[[#This Row],[Unit Cost]])*Table10[[#This Row],[Units Sold]]</f>
        <v>12155.000000000007</v>
      </c>
    </row>
    <row r="20" spans="1:5" ht="15" hidden="1" thickBot="1">
      <c r="A20" s="25"/>
      <c r="B20" s="12">
        <v>398</v>
      </c>
      <c r="C20" s="12">
        <v>326.89999999999998</v>
      </c>
      <c r="D20" s="12">
        <v>270.37</v>
      </c>
      <c r="E20" s="12">
        <f>(Table10[[#This Row],[Unit Price]]-Table10[[#This Row],[Unit Cost]])*Table10[[#This Row],[Units Sold]]</f>
        <v>22498.939999999988</v>
      </c>
    </row>
    <row r="21" spans="1:5" ht="15" thickBot="1">
      <c r="A21" s="24" t="s">
        <v>17</v>
      </c>
      <c r="B21" s="21">
        <v>185</v>
      </c>
      <c r="C21" s="21">
        <v>242.24</v>
      </c>
      <c r="D21" s="21">
        <v>213.93</v>
      </c>
      <c r="E21" s="12">
        <f>(Table10[[#This Row],[Unit Price]]-Table10[[#This Row],[Unit Cost]])*Table10[[#This Row],[Units Sold]]</f>
        <v>5237.3500000000004</v>
      </c>
    </row>
    <row r="22" spans="1:5" ht="15" hidden="1" thickBot="1">
      <c r="A22" s="25" t="s">
        <v>11</v>
      </c>
      <c r="B22" s="12">
        <v>99</v>
      </c>
      <c r="C22" s="12">
        <v>309.79000000000002</v>
      </c>
      <c r="D22" s="12">
        <v>289.13</v>
      </c>
      <c r="E22" s="12">
        <f>(Table10[[#This Row],[Unit Price]]-Table10[[#This Row],[Unit Cost]])*Table10[[#This Row],[Units Sold]]</f>
        <v>2045.3400000000024</v>
      </c>
    </row>
    <row r="23" spans="1:5" ht="15" hidden="1" thickBot="1">
      <c r="A23" s="24" t="s">
        <v>48</v>
      </c>
      <c r="B23" s="21">
        <v>411</v>
      </c>
      <c r="C23" s="21">
        <v>167.86</v>
      </c>
      <c r="D23" s="21">
        <v>58.23</v>
      </c>
      <c r="E23" s="12">
        <f>(Table10[[#This Row],[Unit Price]]-Table10[[#This Row],[Unit Cost]])*Table10[[#This Row],[Units Sold]]</f>
        <v>45057.930000000008</v>
      </c>
    </row>
    <row r="24" spans="1:5" ht="15" hidden="1" thickBot="1">
      <c r="A24" s="25" t="s">
        <v>22</v>
      </c>
      <c r="B24" s="12">
        <v>463</v>
      </c>
      <c r="C24" s="12">
        <v>237.74</v>
      </c>
      <c r="D24" s="12">
        <v>86.37</v>
      </c>
      <c r="E24" s="12">
        <f>(Table10[[#This Row],[Unit Price]]-Table10[[#This Row],[Unit Cost]])*Table10[[#This Row],[Units Sold]]</f>
        <v>70084.31</v>
      </c>
    </row>
    <row r="25" spans="1:5" ht="15" hidden="1" thickBot="1">
      <c r="A25" s="24" t="s">
        <v>48</v>
      </c>
      <c r="B25" s="21">
        <v>46</v>
      </c>
      <c r="C25" s="21">
        <v>373.42</v>
      </c>
      <c r="D25" s="21">
        <v>327.86</v>
      </c>
      <c r="E25" s="12">
        <f>(Table10[[#This Row],[Unit Price]]-Table10[[#This Row],[Unit Cost]])*Table10[[#This Row],[Units Sold]]</f>
        <v>2095.7600000000002</v>
      </c>
    </row>
    <row r="26" spans="1:5" ht="15" thickBot="1">
      <c r="A26" s="25" t="s">
        <v>17</v>
      </c>
      <c r="B26" s="12">
        <v>325</v>
      </c>
      <c r="C26" s="12">
        <v>436.56</v>
      </c>
      <c r="D26" s="12">
        <v>130.37</v>
      </c>
      <c r="E26" s="12">
        <f>(Table10[[#This Row],[Unit Price]]-Table10[[#This Row],[Unit Cost]])*Table10[[#This Row],[Units Sold]]</f>
        <v>99511.75</v>
      </c>
    </row>
    <row r="27" spans="1:5" ht="15" thickBot="1">
      <c r="A27" s="24" t="s">
        <v>17</v>
      </c>
      <c r="B27" s="21">
        <v>185</v>
      </c>
      <c r="C27" s="21">
        <v>219.66</v>
      </c>
      <c r="D27" s="21">
        <v>11.11</v>
      </c>
      <c r="E27" s="12">
        <f>(Table10[[#This Row],[Unit Price]]-Table10[[#This Row],[Unit Cost]])*Table10[[#This Row],[Units Sold]]</f>
        <v>38581.75</v>
      </c>
    </row>
    <row r="28" spans="1:5" ht="15" hidden="1" thickBot="1">
      <c r="A28" s="25" t="s">
        <v>48</v>
      </c>
      <c r="B28" s="12">
        <v>470</v>
      </c>
      <c r="C28" s="12">
        <v>26.61</v>
      </c>
      <c r="D28" s="12">
        <v>63.21</v>
      </c>
      <c r="E28" s="12">
        <f>(Table10[[#This Row],[Unit Price]]-Table10[[#This Row],[Unit Cost]])*Table10[[#This Row],[Units Sold]]</f>
        <v>-17202</v>
      </c>
    </row>
    <row r="29" spans="1:5" ht="15" hidden="1" thickBot="1">
      <c r="A29" s="24" t="s">
        <v>48</v>
      </c>
      <c r="B29" s="21">
        <v>293</v>
      </c>
      <c r="C29" s="21">
        <v>85.03</v>
      </c>
      <c r="D29" s="21">
        <v>91</v>
      </c>
      <c r="E29" s="12">
        <f>(Table10[[#This Row],[Unit Price]]-Table10[[#This Row],[Unit Cost]])*Table10[[#This Row],[Units Sold]]</f>
        <v>-1749.2099999999996</v>
      </c>
    </row>
    <row r="30" spans="1:5" ht="15" hidden="1" thickBot="1">
      <c r="A30" s="25" t="s">
        <v>48</v>
      </c>
      <c r="B30" s="12">
        <v>462</v>
      </c>
      <c r="C30" s="12"/>
      <c r="D30" s="12">
        <v>383.01</v>
      </c>
      <c r="E30" s="12">
        <f>(Table10[[#This Row],[Unit Price]]-Table10[[#This Row],[Unit Cost]])*Table10[[#This Row],[Units Sold]]</f>
        <v>-176950.62</v>
      </c>
    </row>
    <row r="31" spans="1:5" ht="15" thickBot="1">
      <c r="A31" s="24" t="s">
        <v>17</v>
      </c>
      <c r="B31" s="21">
        <v>470</v>
      </c>
      <c r="C31" s="21">
        <v>328.37</v>
      </c>
      <c r="D31" s="21">
        <v>230.07</v>
      </c>
      <c r="E31" s="12">
        <f>(Table10[[#This Row],[Unit Price]]-Table10[[#This Row],[Unit Cost]])*Table10[[#This Row],[Units Sold]]</f>
        <v>46201.000000000007</v>
      </c>
    </row>
    <row r="32" spans="1:5" ht="15" thickBot="1">
      <c r="A32" s="25" t="s">
        <v>17</v>
      </c>
      <c r="B32" s="12">
        <v>90</v>
      </c>
      <c r="C32" s="12">
        <v>169.5</v>
      </c>
      <c r="D32" s="12">
        <v>373.23</v>
      </c>
      <c r="E32" s="12">
        <f>(Table10[[#This Row],[Unit Price]]-Table10[[#This Row],[Unit Cost]])*Table10[[#This Row],[Units Sold]]</f>
        <v>-18335.7</v>
      </c>
    </row>
    <row r="33" spans="1:5" ht="15" hidden="1" thickBot="1">
      <c r="A33" s="24"/>
      <c r="B33" s="21">
        <v>123</v>
      </c>
      <c r="C33" s="21">
        <v>273.52999999999997</v>
      </c>
      <c r="D33" s="21">
        <v>230.92</v>
      </c>
      <c r="E33" s="12">
        <f>(Table10[[#This Row],[Unit Price]]-Table10[[#This Row],[Unit Cost]])*Table10[[#This Row],[Units Sold]]</f>
        <v>5241.0299999999979</v>
      </c>
    </row>
    <row r="34" spans="1:5" ht="15" hidden="1" thickBot="1">
      <c r="A34" s="25" t="s">
        <v>22</v>
      </c>
      <c r="B34" s="12">
        <v>49</v>
      </c>
      <c r="C34" s="12">
        <v>249.17</v>
      </c>
      <c r="D34" s="12">
        <v>192.78</v>
      </c>
      <c r="E34" s="12">
        <f>(Table10[[#This Row],[Unit Price]]-Table10[[#This Row],[Unit Cost]])*Table10[[#This Row],[Units Sold]]</f>
        <v>2763.1099999999992</v>
      </c>
    </row>
    <row r="35" spans="1:5" ht="15" thickBot="1">
      <c r="A35" s="24" t="s">
        <v>17</v>
      </c>
      <c r="B35" s="21">
        <v>310</v>
      </c>
      <c r="C35" s="21">
        <v>45.36</v>
      </c>
      <c r="D35" s="21">
        <v>126.86</v>
      </c>
      <c r="E35" s="12">
        <f>(Table10[[#This Row],[Unit Price]]-Table10[[#This Row],[Unit Cost]])*Table10[[#This Row],[Units Sold]]</f>
        <v>-25265</v>
      </c>
    </row>
    <row r="36" spans="1:5" ht="15" hidden="1" thickBot="1">
      <c r="A36" s="25" t="s">
        <v>48</v>
      </c>
      <c r="B36" s="12">
        <v>233</v>
      </c>
      <c r="C36" s="12">
        <v>204.61</v>
      </c>
      <c r="D36" s="12">
        <v>243.34</v>
      </c>
      <c r="E36" s="12">
        <f>(Table10[[#This Row],[Unit Price]]-Table10[[#This Row],[Unit Cost]])*Table10[[#This Row],[Units Sold]]</f>
        <v>-9024.0899999999983</v>
      </c>
    </row>
    <row r="37" spans="1:5" ht="15" hidden="1" thickBot="1">
      <c r="A37" s="24" t="s">
        <v>48</v>
      </c>
      <c r="B37" s="21">
        <v>327</v>
      </c>
      <c r="C37" s="21">
        <v>114.18</v>
      </c>
      <c r="D37" s="21">
        <v>57.4</v>
      </c>
      <c r="E37" s="12">
        <f>(Table10[[#This Row],[Unit Price]]-Table10[[#This Row],[Unit Cost]])*Table10[[#This Row],[Units Sold]]</f>
        <v>18567.060000000001</v>
      </c>
    </row>
    <row r="38" spans="1:5" ht="15" hidden="1" thickBot="1">
      <c r="A38" s="25" t="s">
        <v>22</v>
      </c>
      <c r="B38" s="12">
        <v>358</v>
      </c>
      <c r="C38" s="12">
        <v>212.11</v>
      </c>
      <c r="D38" s="12">
        <v>359.51</v>
      </c>
      <c r="E38" s="12">
        <f>(Table10[[#This Row],[Unit Price]]-Table10[[#This Row],[Unit Cost]])*Table10[[#This Row],[Units Sold]]</f>
        <v>-52769.19999999999</v>
      </c>
    </row>
    <row r="39" spans="1:5" ht="15" thickBot="1">
      <c r="A39" s="24" t="s">
        <v>17</v>
      </c>
      <c r="B39" s="21">
        <v>124</v>
      </c>
      <c r="C39" s="21"/>
      <c r="D39" s="21">
        <v>332.07</v>
      </c>
      <c r="E39" s="12">
        <f>(Table10[[#This Row],[Unit Price]]-Table10[[#This Row],[Unit Cost]])*Table10[[#This Row],[Units Sold]]</f>
        <v>-41176.68</v>
      </c>
    </row>
    <row r="40" spans="1:5" ht="15" hidden="1" thickBot="1">
      <c r="A40" s="25" t="s">
        <v>22</v>
      </c>
      <c r="B40" s="12">
        <v>195</v>
      </c>
      <c r="C40" s="12">
        <v>421.02</v>
      </c>
      <c r="D40" s="12">
        <v>128.38</v>
      </c>
      <c r="E40" s="12">
        <f>(Table10[[#This Row],[Unit Price]]-Table10[[#This Row],[Unit Cost]])*Table10[[#This Row],[Units Sold]]</f>
        <v>57064.799999999996</v>
      </c>
    </row>
    <row r="41" spans="1:5" ht="15" hidden="1" thickBot="1">
      <c r="A41" s="24" t="s">
        <v>22</v>
      </c>
      <c r="B41" s="21"/>
      <c r="C41" s="21">
        <v>91.23</v>
      </c>
      <c r="D41" s="21">
        <v>381.21</v>
      </c>
      <c r="E41" s="12">
        <f>(Table10[[#This Row],[Unit Price]]-Table10[[#This Row],[Unit Cost]])*Table10[[#This Row],[Units Sold]]</f>
        <v>0</v>
      </c>
    </row>
    <row r="42" spans="1:5" ht="15" hidden="1" thickBot="1">
      <c r="A42" s="25" t="s">
        <v>11</v>
      </c>
      <c r="B42" s="12">
        <v>65</v>
      </c>
      <c r="C42" s="12">
        <v>480.59</v>
      </c>
      <c r="D42" s="12">
        <v>330.43</v>
      </c>
      <c r="E42" s="12">
        <f>(Table10[[#This Row],[Unit Price]]-Table10[[#This Row],[Unit Cost]])*Table10[[#This Row],[Units Sold]]</f>
        <v>9760.3999999999978</v>
      </c>
    </row>
    <row r="43" spans="1:5" ht="15" hidden="1" thickBot="1">
      <c r="A43" s="24" t="s">
        <v>11</v>
      </c>
      <c r="B43" s="21">
        <v>49</v>
      </c>
      <c r="C43" s="21">
        <v>210.87</v>
      </c>
      <c r="D43" s="21">
        <v>267.19</v>
      </c>
      <c r="E43" s="12">
        <f>(Table10[[#This Row],[Unit Price]]-Table10[[#This Row],[Unit Cost]])*Table10[[#This Row],[Units Sold]]</f>
        <v>-2759.68</v>
      </c>
    </row>
    <row r="44" spans="1:5" ht="15" hidden="1" thickBot="1">
      <c r="A44" s="25" t="s">
        <v>11</v>
      </c>
      <c r="B44" s="12">
        <v>363</v>
      </c>
      <c r="C44" s="12">
        <v>423.89</v>
      </c>
      <c r="D44" s="12">
        <v>50.46</v>
      </c>
      <c r="E44" s="12">
        <f>(Table10[[#This Row],[Unit Price]]-Table10[[#This Row],[Unit Cost]])*Table10[[#This Row],[Units Sold]]</f>
        <v>135555.09</v>
      </c>
    </row>
    <row r="45" spans="1:5" ht="15" hidden="1" thickBot="1">
      <c r="A45" s="24" t="s">
        <v>48</v>
      </c>
      <c r="B45" s="21">
        <v>49</v>
      </c>
      <c r="C45" s="21">
        <v>316.24</v>
      </c>
      <c r="D45" s="21">
        <v>192.34</v>
      </c>
      <c r="E45" s="12">
        <f>(Table10[[#This Row],[Unit Price]]-Table10[[#This Row],[Unit Cost]])*Table10[[#This Row],[Units Sold]]</f>
        <v>6071.1</v>
      </c>
    </row>
    <row r="46" spans="1:5" ht="15" thickBot="1">
      <c r="A46" s="25" t="s">
        <v>17</v>
      </c>
      <c r="B46" s="12">
        <v>356</v>
      </c>
      <c r="C46" s="12">
        <v>369</v>
      </c>
      <c r="D46" s="12">
        <v>203.43</v>
      </c>
      <c r="E46" s="12">
        <f>(Table10[[#This Row],[Unit Price]]-Table10[[#This Row],[Unit Cost]])*Table10[[#This Row],[Units Sold]]</f>
        <v>58942.92</v>
      </c>
    </row>
    <row r="47" spans="1:5" ht="15" thickBot="1">
      <c r="A47" s="24" t="s">
        <v>17</v>
      </c>
      <c r="B47" s="21">
        <v>470</v>
      </c>
      <c r="C47" s="21"/>
      <c r="D47" s="21">
        <v>94.56</v>
      </c>
      <c r="E47" s="12">
        <f>(Table10[[#This Row],[Unit Price]]-Table10[[#This Row],[Unit Cost]])*Table10[[#This Row],[Units Sold]]</f>
        <v>-44443.200000000004</v>
      </c>
    </row>
    <row r="48" spans="1:5" ht="15" thickBot="1">
      <c r="A48" s="25" t="s">
        <v>17</v>
      </c>
      <c r="B48" s="12">
        <v>246</v>
      </c>
      <c r="C48" s="12">
        <v>254.9</v>
      </c>
      <c r="D48" s="12">
        <v>33.83</v>
      </c>
      <c r="E48" s="12">
        <f>(Table10[[#This Row],[Unit Price]]-Table10[[#This Row],[Unit Cost]])*Table10[[#This Row],[Units Sold]]</f>
        <v>54383.22</v>
      </c>
    </row>
    <row r="49" spans="1:5" ht="15" thickBot="1">
      <c r="A49" s="24" t="s">
        <v>17</v>
      </c>
      <c r="B49" s="21">
        <v>298</v>
      </c>
      <c r="C49" s="21">
        <v>273.93</v>
      </c>
      <c r="D49" s="21">
        <v>311.14</v>
      </c>
      <c r="E49" s="12">
        <f>(Table10[[#This Row],[Unit Price]]-Table10[[#This Row],[Unit Cost]])*Table10[[#This Row],[Units Sold]]</f>
        <v>-11088.579999999994</v>
      </c>
    </row>
    <row r="50" spans="1:5" ht="15" hidden="1" thickBot="1">
      <c r="A50" s="25" t="s">
        <v>11</v>
      </c>
      <c r="B50" s="12">
        <v>271</v>
      </c>
      <c r="C50" s="12">
        <v>259.43</v>
      </c>
      <c r="D50" s="12">
        <v>50.57</v>
      </c>
      <c r="E50" s="12">
        <f>(Table10[[#This Row],[Unit Price]]-Table10[[#This Row],[Unit Cost]])*Table10[[#This Row],[Units Sold]]</f>
        <v>56601.060000000005</v>
      </c>
    </row>
    <row r="51" spans="1:5" ht="15" hidden="1" thickBot="1">
      <c r="A51" s="24" t="s">
        <v>48</v>
      </c>
      <c r="B51" s="21">
        <v>225</v>
      </c>
      <c r="C51" s="21">
        <v>296.08999999999997</v>
      </c>
      <c r="D51" s="21">
        <v>238.53</v>
      </c>
      <c r="E51" s="12">
        <f>(Table10[[#This Row],[Unit Price]]-Table10[[#This Row],[Unit Cost]])*Table10[[#This Row],[Units Sold]]</f>
        <v>12950.999999999995</v>
      </c>
    </row>
    <row r="52" spans="1:5" ht="15" hidden="1" thickBot="1">
      <c r="A52" s="25"/>
      <c r="B52" s="12">
        <v>156</v>
      </c>
      <c r="C52" s="12">
        <v>19.55</v>
      </c>
      <c r="D52" s="12">
        <v>374.71</v>
      </c>
      <c r="E52" s="12">
        <f>(Table10[[#This Row],[Unit Price]]-Table10[[#This Row],[Unit Cost]])*Table10[[#This Row],[Units Sold]]</f>
        <v>-55404.959999999992</v>
      </c>
    </row>
    <row r="53" spans="1:5" ht="15" hidden="1" thickBot="1">
      <c r="A53" s="24" t="s">
        <v>11</v>
      </c>
      <c r="B53" s="21">
        <v>345</v>
      </c>
      <c r="C53" s="21">
        <v>200.78</v>
      </c>
      <c r="D53" s="21">
        <v>350.69</v>
      </c>
      <c r="E53" s="12">
        <f>(Table10[[#This Row],[Unit Price]]-Table10[[#This Row],[Unit Cost]])*Table10[[#This Row],[Units Sold]]</f>
        <v>-51718.95</v>
      </c>
    </row>
    <row r="54" spans="1:5" ht="15" hidden="1" thickBot="1">
      <c r="A54" s="25" t="s">
        <v>48</v>
      </c>
      <c r="B54" s="12">
        <v>177</v>
      </c>
      <c r="C54" s="12">
        <v>305.06</v>
      </c>
      <c r="D54" s="12">
        <v>112.55</v>
      </c>
      <c r="E54" s="12">
        <f>(Table10[[#This Row],[Unit Price]]-Table10[[#This Row],[Unit Cost]])*Table10[[#This Row],[Units Sold]]</f>
        <v>34074.269999999997</v>
      </c>
    </row>
    <row r="55" spans="1:5" ht="15" hidden="1" thickBot="1">
      <c r="A55" s="24" t="s">
        <v>11</v>
      </c>
      <c r="B55" s="21">
        <v>101</v>
      </c>
      <c r="C55" s="21">
        <v>300.87</v>
      </c>
      <c r="D55" s="21">
        <v>340.88</v>
      </c>
      <c r="E55" s="12">
        <f>(Table10[[#This Row],[Unit Price]]-Table10[[#This Row],[Unit Cost]])*Table10[[#This Row],[Units Sold]]</f>
        <v>-4041.0099999999993</v>
      </c>
    </row>
    <row r="56" spans="1:5" ht="15" thickBot="1">
      <c r="A56" s="25" t="s">
        <v>17</v>
      </c>
      <c r="B56" s="12">
        <v>362</v>
      </c>
      <c r="C56" s="12">
        <v>397.51</v>
      </c>
      <c r="D56" s="12">
        <v>2.13</v>
      </c>
      <c r="E56" s="12">
        <f>(Table10[[#This Row],[Unit Price]]-Table10[[#This Row],[Unit Cost]])*Table10[[#This Row],[Units Sold]]</f>
        <v>143127.56</v>
      </c>
    </row>
    <row r="57" spans="1:5" ht="15" hidden="1" thickBot="1">
      <c r="A57" s="24" t="s">
        <v>11</v>
      </c>
      <c r="B57" s="21">
        <v>68</v>
      </c>
      <c r="C57" s="21">
        <v>329.23</v>
      </c>
      <c r="D57" s="21">
        <v>9.0399999999999991</v>
      </c>
      <c r="E57" s="12">
        <f>(Table10[[#This Row],[Unit Price]]-Table10[[#This Row],[Unit Cost]])*Table10[[#This Row],[Units Sold]]</f>
        <v>21772.92</v>
      </c>
    </row>
    <row r="58" spans="1:5" ht="15" thickBot="1">
      <c r="A58" s="25" t="s">
        <v>17</v>
      </c>
      <c r="B58" s="12">
        <v>68</v>
      </c>
      <c r="C58" s="12">
        <v>496.11</v>
      </c>
      <c r="D58" s="12">
        <v>241.82</v>
      </c>
      <c r="E58" s="12">
        <f>(Table10[[#This Row],[Unit Price]]-Table10[[#This Row],[Unit Cost]])*Table10[[#This Row],[Units Sold]]</f>
        <v>17291.72</v>
      </c>
    </row>
    <row r="59" spans="1:5" ht="15" thickBot="1">
      <c r="A59" s="24" t="s">
        <v>17</v>
      </c>
      <c r="B59" s="21">
        <v>313</v>
      </c>
      <c r="C59" s="21">
        <v>145.51</v>
      </c>
      <c r="D59" s="21">
        <v>147.19</v>
      </c>
      <c r="E59" s="12">
        <f>(Table10[[#This Row],[Unit Price]]-Table10[[#This Row],[Unit Cost]])*Table10[[#This Row],[Units Sold]]</f>
        <v>-525.84000000000219</v>
      </c>
    </row>
    <row r="60" spans="1:5" ht="15" hidden="1" thickBot="1">
      <c r="A60" s="25" t="s">
        <v>22</v>
      </c>
      <c r="B60" s="12">
        <v>178</v>
      </c>
      <c r="C60" s="12">
        <v>182.78</v>
      </c>
      <c r="D60" s="12">
        <v>155.81</v>
      </c>
      <c r="E60" s="12">
        <f>(Table10[[#This Row],[Unit Price]]-Table10[[#This Row],[Unit Cost]])*Table10[[#This Row],[Units Sold]]</f>
        <v>4800.66</v>
      </c>
    </row>
    <row r="61" spans="1:5" ht="15" hidden="1" thickBot="1">
      <c r="A61" s="24" t="s">
        <v>11</v>
      </c>
      <c r="B61" s="21">
        <v>278</v>
      </c>
      <c r="C61" s="21">
        <v>195</v>
      </c>
      <c r="D61" s="21">
        <v>226.65</v>
      </c>
      <c r="E61" s="12">
        <f>(Table10[[#This Row],[Unit Price]]-Table10[[#This Row],[Unit Cost]])*Table10[[#This Row],[Units Sold]]</f>
        <v>-8798.7000000000007</v>
      </c>
    </row>
    <row r="62" spans="1:5" ht="15" hidden="1" thickBot="1">
      <c r="A62" s="25" t="s">
        <v>22</v>
      </c>
      <c r="B62" s="12">
        <v>372</v>
      </c>
      <c r="C62" s="12">
        <v>235.58</v>
      </c>
      <c r="D62" s="12">
        <v>78.33</v>
      </c>
      <c r="E62" s="12">
        <f>(Table10[[#This Row],[Unit Price]]-Table10[[#This Row],[Unit Cost]])*Table10[[#This Row],[Units Sold]]</f>
        <v>58497</v>
      </c>
    </row>
    <row r="63" spans="1:5" ht="15" hidden="1" thickBot="1">
      <c r="A63" s="24" t="s">
        <v>11</v>
      </c>
      <c r="B63" s="21">
        <v>54</v>
      </c>
      <c r="C63" s="21">
        <v>418.82</v>
      </c>
      <c r="D63" s="21">
        <v>86.28</v>
      </c>
      <c r="E63" s="12">
        <f>(Table10[[#This Row],[Unit Price]]-Table10[[#This Row],[Unit Cost]])*Table10[[#This Row],[Units Sold]]</f>
        <v>17957.159999999996</v>
      </c>
    </row>
    <row r="64" spans="1:5" ht="15" hidden="1" thickBot="1">
      <c r="A64" s="25" t="s">
        <v>11</v>
      </c>
      <c r="B64" s="12">
        <v>354</v>
      </c>
      <c r="C64" s="12">
        <v>121.72</v>
      </c>
      <c r="D64" s="12">
        <v>194.87</v>
      </c>
      <c r="E64" s="12">
        <f>(Table10[[#This Row],[Unit Price]]-Table10[[#This Row],[Unit Cost]])*Table10[[#This Row],[Units Sold]]</f>
        <v>-25895.100000000002</v>
      </c>
    </row>
    <row r="65" spans="1:5" ht="15" hidden="1" thickBot="1">
      <c r="A65" s="24" t="s">
        <v>22</v>
      </c>
      <c r="B65" s="21">
        <v>190</v>
      </c>
      <c r="C65" s="21">
        <v>389.12</v>
      </c>
      <c r="D65" s="21">
        <v>302.19</v>
      </c>
      <c r="E65" s="12">
        <f>(Table10[[#This Row],[Unit Price]]-Table10[[#This Row],[Unit Cost]])*Table10[[#This Row],[Units Sold]]</f>
        <v>16516.7</v>
      </c>
    </row>
    <row r="66" spans="1:5" ht="15" hidden="1" thickBot="1">
      <c r="A66" s="25"/>
      <c r="B66" s="12">
        <v>179</v>
      </c>
      <c r="C66" s="12">
        <v>205.63</v>
      </c>
      <c r="D66" s="12">
        <v>248.56</v>
      </c>
      <c r="E66" s="12">
        <f>(Table10[[#This Row],[Unit Price]]-Table10[[#This Row],[Unit Cost]])*Table10[[#This Row],[Units Sold]]</f>
        <v>-7684.4700000000012</v>
      </c>
    </row>
    <row r="67" spans="1:5" ht="15" hidden="1" thickBot="1">
      <c r="A67" s="24" t="s">
        <v>11</v>
      </c>
      <c r="B67" s="21">
        <v>365</v>
      </c>
      <c r="C67" s="21">
        <v>302.92</v>
      </c>
      <c r="D67" s="21">
        <v>120.35</v>
      </c>
      <c r="E67" s="12">
        <f>(Table10[[#This Row],[Unit Price]]-Table10[[#This Row],[Unit Cost]])*Table10[[#This Row],[Units Sold]]</f>
        <v>66638.05</v>
      </c>
    </row>
    <row r="68" spans="1:5" ht="15" hidden="1" thickBot="1">
      <c r="A68" s="25" t="s">
        <v>48</v>
      </c>
      <c r="B68" s="12">
        <v>200</v>
      </c>
      <c r="C68" s="12">
        <v>318.11</v>
      </c>
      <c r="D68" s="12">
        <v>173.27</v>
      </c>
      <c r="E68" s="12">
        <f>(Table10[[#This Row],[Unit Price]]-Table10[[#This Row],[Unit Cost]])*Table10[[#This Row],[Units Sold]]</f>
        <v>28968</v>
      </c>
    </row>
    <row r="69" spans="1:5" ht="15" thickBot="1">
      <c r="A69" s="24" t="s">
        <v>17</v>
      </c>
      <c r="B69" s="21">
        <v>164</v>
      </c>
      <c r="C69" s="21">
        <v>189.56</v>
      </c>
      <c r="D69" s="21">
        <v>69.92</v>
      </c>
      <c r="E69" s="12">
        <f>(Table10[[#This Row],[Unit Price]]-Table10[[#This Row],[Unit Cost]])*Table10[[#This Row],[Units Sold]]</f>
        <v>19620.96</v>
      </c>
    </row>
    <row r="70" spans="1:5" ht="15" hidden="1" thickBot="1">
      <c r="A70" s="25" t="s">
        <v>22</v>
      </c>
      <c r="B70" s="12">
        <v>431</v>
      </c>
      <c r="C70" s="12">
        <v>258.74</v>
      </c>
      <c r="D70" s="12">
        <v>31.7</v>
      </c>
      <c r="E70" s="12">
        <f>(Table10[[#This Row],[Unit Price]]-Table10[[#This Row],[Unit Cost]])*Table10[[#This Row],[Units Sold]]</f>
        <v>97854.24</v>
      </c>
    </row>
    <row r="71" spans="1:5" ht="15" thickBot="1">
      <c r="A71" s="24" t="s">
        <v>17</v>
      </c>
      <c r="B71" s="21">
        <v>197</v>
      </c>
      <c r="C71" s="21">
        <v>209.45</v>
      </c>
      <c r="D71" s="21">
        <v>313.51</v>
      </c>
      <c r="E71" s="12">
        <f>(Table10[[#This Row],[Unit Price]]-Table10[[#This Row],[Unit Cost]])*Table10[[#This Row],[Units Sold]]</f>
        <v>-20499.82</v>
      </c>
    </row>
    <row r="72" spans="1:5" ht="15" hidden="1" thickBot="1">
      <c r="A72" s="25" t="s">
        <v>48</v>
      </c>
      <c r="B72" s="12">
        <v>16</v>
      </c>
      <c r="C72" s="12">
        <v>39.22</v>
      </c>
      <c r="D72" s="12">
        <v>107.62</v>
      </c>
      <c r="E72" s="12">
        <f>(Table10[[#This Row],[Unit Price]]-Table10[[#This Row],[Unit Cost]])*Table10[[#This Row],[Units Sold]]</f>
        <v>-1094.4000000000001</v>
      </c>
    </row>
    <row r="73" spans="1:5" ht="15" hidden="1" thickBot="1">
      <c r="A73" s="24" t="s">
        <v>48</v>
      </c>
      <c r="B73" s="21">
        <v>142</v>
      </c>
      <c r="C73" s="21">
        <v>221.4</v>
      </c>
      <c r="D73" s="21">
        <v>72.75</v>
      </c>
      <c r="E73" s="12">
        <f>(Table10[[#This Row],[Unit Price]]-Table10[[#This Row],[Unit Cost]])*Table10[[#This Row],[Units Sold]]</f>
        <v>21108.3</v>
      </c>
    </row>
    <row r="74" spans="1:5" ht="15" hidden="1" thickBot="1">
      <c r="A74" s="25" t="s">
        <v>48</v>
      </c>
      <c r="B74" s="12">
        <v>244</v>
      </c>
      <c r="C74" s="12">
        <v>53.21</v>
      </c>
      <c r="D74" s="12">
        <v>277.26</v>
      </c>
      <c r="E74" s="12">
        <f>(Table10[[#This Row],[Unit Price]]-Table10[[#This Row],[Unit Cost]])*Table10[[#This Row],[Units Sold]]</f>
        <v>-54668.2</v>
      </c>
    </row>
    <row r="75" spans="1:5" ht="15" hidden="1" thickBot="1">
      <c r="A75" s="24" t="s">
        <v>22</v>
      </c>
      <c r="B75" s="21">
        <v>54</v>
      </c>
      <c r="C75" s="21">
        <v>205.49</v>
      </c>
      <c r="D75" s="21">
        <v>247.98</v>
      </c>
      <c r="E75" s="12">
        <f>(Table10[[#This Row],[Unit Price]]-Table10[[#This Row],[Unit Cost]])*Table10[[#This Row],[Units Sold]]</f>
        <v>-2294.4599999999991</v>
      </c>
    </row>
    <row r="76" spans="1:5" ht="15" hidden="1" thickBot="1">
      <c r="A76" s="25" t="s">
        <v>48</v>
      </c>
      <c r="B76" s="12">
        <v>323</v>
      </c>
      <c r="C76" s="12">
        <v>298.49</v>
      </c>
      <c r="D76" s="12">
        <v>254.01</v>
      </c>
      <c r="E76" s="12">
        <f>(Table10[[#This Row],[Unit Price]]-Table10[[#This Row],[Unit Cost]])*Table10[[#This Row],[Units Sold]]</f>
        <v>14367.040000000006</v>
      </c>
    </row>
    <row r="77" spans="1:5" ht="15" hidden="1" thickBot="1">
      <c r="A77" s="24" t="s">
        <v>22</v>
      </c>
      <c r="B77" s="21">
        <v>258</v>
      </c>
      <c r="C77" s="21">
        <v>291.81</v>
      </c>
      <c r="D77" s="21">
        <v>93.1</v>
      </c>
      <c r="E77" s="12">
        <f>(Table10[[#This Row],[Unit Price]]-Table10[[#This Row],[Unit Cost]])*Table10[[#This Row],[Units Sold]]</f>
        <v>51267.18</v>
      </c>
    </row>
    <row r="78" spans="1:5" ht="15" hidden="1" thickBot="1">
      <c r="A78" s="25" t="s">
        <v>48</v>
      </c>
      <c r="B78" s="12">
        <v>40</v>
      </c>
      <c r="C78" s="12">
        <v>333</v>
      </c>
      <c r="D78" s="12">
        <v>94.59</v>
      </c>
      <c r="E78" s="12">
        <f>(Table10[[#This Row],[Unit Price]]-Table10[[#This Row],[Unit Cost]])*Table10[[#This Row],[Units Sold]]</f>
        <v>9536.4</v>
      </c>
    </row>
    <row r="79" spans="1:5" ht="15" thickBot="1">
      <c r="A79" s="24" t="s">
        <v>17</v>
      </c>
      <c r="B79" s="21">
        <v>32</v>
      </c>
      <c r="C79" s="21">
        <v>52.15</v>
      </c>
      <c r="D79" s="21">
        <v>89.88</v>
      </c>
      <c r="E79" s="12">
        <f>(Table10[[#This Row],[Unit Price]]-Table10[[#This Row],[Unit Cost]])*Table10[[#This Row],[Units Sold]]</f>
        <v>-1207.3599999999999</v>
      </c>
    </row>
    <row r="80" spans="1:5" ht="15" thickBot="1">
      <c r="A80" s="25" t="s">
        <v>17</v>
      </c>
      <c r="B80" s="12">
        <v>435</v>
      </c>
      <c r="C80" s="12">
        <v>327.8</v>
      </c>
      <c r="D80" s="12">
        <v>71.150000000000006</v>
      </c>
      <c r="E80" s="12">
        <f>(Table10[[#This Row],[Unit Price]]-Table10[[#This Row],[Unit Cost]])*Table10[[#This Row],[Units Sold]]</f>
        <v>111642.74999999999</v>
      </c>
    </row>
    <row r="81" spans="1:5" ht="15" hidden="1" thickBot="1">
      <c r="A81" s="24" t="s">
        <v>11</v>
      </c>
      <c r="B81" s="21">
        <v>403</v>
      </c>
      <c r="C81" s="21">
        <v>159.51</v>
      </c>
      <c r="D81" s="21">
        <v>262.98</v>
      </c>
      <c r="E81" s="12">
        <f>(Table10[[#This Row],[Unit Price]]-Table10[[#This Row],[Unit Cost]])*Table10[[#This Row],[Units Sold]]</f>
        <v>-41698.410000000011</v>
      </c>
    </row>
    <row r="82" spans="1:5" ht="15" thickBot="1">
      <c r="A82" s="25" t="s">
        <v>17</v>
      </c>
      <c r="B82" s="12">
        <v>169</v>
      </c>
      <c r="C82" s="12"/>
      <c r="D82" s="12">
        <v>339.51</v>
      </c>
      <c r="E82" s="12">
        <f>(Table10[[#This Row],[Unit Price]]-Table10[[#This Row],[Unit Cost]])*Table10[[#This Row],[Units Sold]]</f>
        <v>-57377.189999999995</v>
      </c>
    </row>
    <row r="83" spans="1:5" ht="15" hidden="1" thickBot="1">
      <c r="A83" s="24" t="s">
        <v>11</v>
      </c>
      <c r="B83" s="21">
        <v>372</v>
      </c>
      <c r="C83" s="21">
        <v>429.7</v>
      </c>
      <c r="D83" s="21">
        <v>290.27999999999997</v>
      </c>
      <c r="E83" s="12">
        <f>(Table10[[#This Row],[Unit Price]]-Table10[[#This Row],[Unit Cost]])*Table10[[#This Row],[Units Sold]]</f>
        <v>51864.240000000005</v>
      </c>
    </row>
    <row r="84" spans="1:5" ht="15" thickBot="1">
      <c r="A84" s="25" t="s">
        <v>17</v>
      </c>
      <c r="B84" s="12">
        <v>446</v>
      </c>
      <c r="C84" s="12">
        <v>9.4700000000000006</v>
      </c>
      <c r="D84" s="12">
        <v>317.25</v>
      </c>
      <c r="E84" s="12">
        <f>(Table10[[#This Row],[Unit Price]]-Table10[[#This Row],[Unit Cost]])*Table10[[#This Row],[Units Sold]]</f>
        <v>-137269.87999999998</v>
      </c>
    </row>
    <row r="85" spans="1:5" ht="15" hidden="1" thickBot="1">
      <c r="A85" s="24" t="s">
        <v>22</v>
      </c>
      <c r="B85" s="21">
        <v>167</v>
      </c>
      <c r="C85" s="21">
        <v>296.26</v>
      </c>
      <c r="D85" s="21">
        <v>163.11000000000001</v>
      </c>
      <c r="E85" s="12">
        <f>(Table10[[#This Row],[Unit Price]]-Table10[[#This Row],[Unit Cost]])*Table10[[#This Row],[Units Sold]]</f>
        <v>22236.049999999996</v>
      </c>
    </row>
    <row r="86" spans="1:5" ht="15" thickBot="1">
      <c r="A86" s="25" t="s">
        <v>17</v>
      </c>
      <c r="B86" s="12">
        <v>48</v>
      </c>
      <c r="C86" s="12">
        <v>301.36</v>
      </c>
      <c r="D86" s="12">
        <v>262.32</v>
      </c>
      <c r="E86" s="12">
        <f>(Table10[[#This Row],[Unit Price]]-Table10[[#This Row],[Unit Cost]])*Table10[[#This Row],[Units Sold]]</f>
        <v>1873.920000000001</v>
      </c>
    </row>
    <row r="87" spans="1:5" ht="15" hidden="1" thickBot="1">
      <c r="A87" s="24" t="s">
        <v>11</v>
      </c>
      <c r="B87" s="21">
        <v>424</v>
      </c>
      <c r="C87" s="21">
        <v>201.35</v>
      </c>
      <c r="D87" s="21">
        <v>142.99</v>
      </c>
      <c r="E87" s="12">
        <f>(Table10[[#This Row],[Unit Price]]-Table10[[#This Row],[Unit Cost]])*Table10[[#This Row],[Units Sold]]</f>
        <v>24744.639999999992</v>
      </c>
    </row>
    <row r="88" spans="1:5" ht="15" hidden="1" thickBot="1">
      <c r="A88" s="25" t="s">
        <v>11</v>
      </c>
      <c r="B88" s="12">
        <v>91</v>
      </c>
      <c r="C88" s="12">
        <v>122.33</v>
      </c>
      <c r="D88" s="12">
        <v>211.15</v>
      </c>
      <c r="E88" s="12">
        <f>(Table10[[#This Row],[Unit Price]]-Table10[[#This Row],[Unit Cost]])*Table10[[#This Row],[Units Sold]]</f>
        <v>-8082.6200000000008</v>
      </c>
    </row>
    <row r="89" spans="1:5" ht="15" hidden="1" thickBot="1">
      <c r="A89" s="24" t="s">
        <v>48</v>
      </c>
      <c r="B89" s="21">
        <v>365</v>
      </c>
      <c r="C89" s="21">
        <v>121.16</v>
      </c>
      <c r="D89" s="21">
        <v>193.69</v>
      </c>
      <c r="E89" s="12">
        <f>(Table10[[#This Row],[Unit Price]]-Table10[[#This Row],[Unit Cost]])*Table10[[#This Row],[Units Sold]]</f>
        <v>-26473.45</v>
      </c>
    </row>
    <row r="90" spans="1:5" ht="15" hidden="1" thickBot="1">
      <c r="A90" s="25" t="s">
        <v>22</v>
      </c>
      <c r="B90" s="12">
        <v>267</v>
      </c>
      <c r="C90" s="12">
        <v>442.44</v>
      </c>
      <c r="D90" s="12">
        <v>72.400000000000006</v>
      </c>
      <c r="E90" s="12">
        <f>(Table10[[#This Row],[Unit Price]]-Table10[[#This Row],[Unit Cost]])*Table10[[#This Row],[Units Sold]]</f>
        <v>98800.68</v>
      </c>
    </row>
    <row r="91" spans="1:5" ht="15" thickBot="1">
      <c r="A91" s="24" t="s">
        <v>17</v>
      </c>
      <c r="B91" s="21">
        <v>215</v>
      </c>
      <c r="C91" s="21">
        <v>223.8</v>
      </c>
      <c r="D91" s="21">
        <v>156.06</v>
      </c>
      <c r="E91" s="12">
        <f>(Table10[[#This Row],[Unit Price]]-Table10[[#This Row],[Unit Cost]])*Table10[[#This Row],[Units Sold]]</f>
        <v>14564.100000000002</v>
      </c>
    </row>
    <row r="92" spans="1:5" ht="15" hidden="1" thickBot="1">
      <c r="A92" s="25" t="s">
        <v>48</v>
      </c>
      <c r="B92" s="12">
        <v>86</v>
      </c>
      <c r="C92" s="12">
        <v>168.79</v>
      </c>
      <c r="D92" s="12">
        <v>385.6</v>
      </c>
      <c r="E92" s="12">
        <f>(Table10[[#This Row],[Unit Price]]-Table10[[#This Row],[Unit Cost]])*Table10[[#This Row],[Units Sold]]</f>
        <v>-18645.660000000003</v>
      </c>
    </row>
    <row r="93" spans="1:5" ht="15" thickBot="1">
      <c r="A93" s="24" t="s">
        <v>17</v>
      </c>
      <c r="B93" s="21">
        <v>486</v>
      </c>
      <c r="C93" s="21">
        <v>227.14</v>
      </c>
      <c r="D93" s="21">
        <v>100.93</v>
      </c>
      <c r="E93" s="12">
        <f>(Table10[[#This Row],[Unit Price]]-Table10[[#This Row],[Unit Cost]])*Table10[[#This Row],[Units Sold]]</f>
        <v>61338.05999999999</v>
      </c>
    </row>
    <row r="94" spans="1:5" ht="15" thickBot="1">
      <c r="A94" s="25" t="s">
        <v>17</v>
      </c>
      <c r="B94" s="12">
        <v>21</v>
      </c>
      <c r="C94" s="12"/>
      <c r="D94" s="12">
        <v>55.25</v>
      </c>
      <c r="E94" s="12">
        <f>(Table10[[#This Row],[Unit Price]]-Table10[[#This Row],[Unit Cost]])*Table10[[#This Row],[Units Sold]]</f>
        <v>-1160.25</v>
      </c>
    </row>
    <row r="95" spans="1:5" ht="15" hidden="1" thickBot="1">
      <c r="A95" s="24" t="s">
        <v>48</v>
      </c>
      <c r="B95" s="21">
        <v>304</v>
      </c>
      <c r="C95" s="21">
        <v>77.150000000000006</v>
      </c>
      <c r="D95" s="21">
        <v>168.6</v>
      </c>
      <c r="E95" s="12">
        <f>(Table10[[#This Row],[Unit Price]]-Table10[[#This Row],[Unit Cost]])*Table10[[#This Row],[Units Sold]]</f>
        <v>-27800.799999999996</v>
      </c>
    </row>
    <row r="96" spans="1:5" ht="15" hidden="1" thickBot="1">
      <c r="A96" s="25" t="s">
        <v>48</v>
      </c>
      <c r="B96" s="12">
        <v>459</v>
      </c>
      <c r="C96" s="12">
        <v>227.47</v>
      </c>
      <c r="D96" s="12">
        <v>316.55</v>
      </c>
      <c r="E96" s="12">
        <f>(Table10[[#This Row],[Unit Price]]-Table10[[#This Row],[Unit Cost]])*Table10[[#This Row],[Units Sold]]</f>
        <v>-40887.720000000008</v>
      </c>
    </row>
    <row r="97" spans="1:5" ht="15" hidden="1" thickBot="1">
      <c r="A97" s="24" t="s">
        <v>48</v>
      </c>
      <c r="B97" s="21">
        <v>233</v>
      </c>
      <c r="C97" s="21">
        <v>296</v>
      </c>
      <c r="D97" s="21">
        <v>233.69</v>
      </c>
      <c r="E97" s="12">
        <f>(Table10[[#This Row],[Unit Price]]-Table10[[#This Row],[Unit Cost]])*Table10[[#This Row],[Units Sold]]</f>
        <v>14518.230000000001</v>
      </c>
    </row>
    <row r="98" spans="1:5" ht="15" hidden="1" thickBot="1">
      <c r="A98" s="25" t="s">
        <v>48</v>
      </c>
      <c r="B98" s="12">
        <v>22</v>
      </c>
      <c r="C98" s="12">
        <v>474.55</v>
      </c>
      <c r="D98" s="12">
        <v>273.02999999999997</v>
      </c>
      <c r="E98" s="12">
        <f>(Table10[[#This Row],[Unit Price]]-Table10[[#This Row],[Unit Cost]])*Table10[[#This Row],[Units Sold]]</f>
        <v>4433.4400000000005</v>
      </c>
    </row>
    <row r="99" spans="1:5" ht="15" hidden="1" thickBot="1">
      <c r="A99" s="24" t="s">
        <v>48</v>
      </c>
      <c r="B99" s="21">
        <v>55</v>
      </c>
      <c r="C99" s="21">
        <v>130</v>
      </c>
      <c r="D99" s="21">
        <v>77.5</v>
      </c>
      <c r="E99" s="12">
        <f>(Table10[[#This Row],[Unit Price]]-Table10[[#This Row],[Unit Cost]])*Table10[[#This Row],[Units Sold]]</f>
        <v>2887.5</v>
      </c>
    </row>
    <row r="100" spans="1:5" ht="15" thickBot="1">
      <c r="A100" s="25" t="s">
        <v>17</v>
      </c>
      <c r="B100" s="12">
        <v>164</v>
      </c>
      <c r="C100" s="12">
        <v>182.83</v>
      </c>
      <c r="D100" s="12">
        <v>248.34</v>
      </c>
      <c r="E100" s="12">
        <f>(Table10[[#This Row],[Unit Price]]-Table10[[#This Row],[Unit Cost]])*Table10[[#This Row],[Units Sold]]</f>
        <v>-10743.64</v>
      </c>
    </row>
    <row r="101" spans="1:5" ht="15" hidden="1" thickBot="1">
      <c r="A101" s="24" t="s">
        <v>48</v>
      </c>
      <c r="B101" s="21">
        <v>122</v>
      </c>
      <c r="C101" s="21">
        <v>192.78</v>
      </c>
      <c r="D101" s="21">
        <v>130.75</v>
      </c>
      <c r="E101" s="12">
        <f>(Table10[[#This Row],[Unit Price]]-Table10[[#This Row],[Unit Cost]])*Table10[[#This Row],[Units Sold]]</f>
        <v>7567.66</v>
      </c>
    </row>
    <row r="102" spans="1:5" ht="15" hidden="1" thickBot="1">
      <c r="A102" s="25" t="s">
        <v>22</v>
      </c>
      <c r="B102" s="12">
        <v>242</v>
      </c>
      <c r="C102" s="12">
        <v>304.74</v>
      </c>
      <c r="D102" s="12">
        <v>334.05</v>
      </c>
      <c r="E102" s="12">
        <f>(Table10[[#This Row],[Unit Price]]-Table10[[#This Row],[Unit Cost]])*Table10[[#This Row],[Units Sold]]</f>
        <v>-7093.02</v>
      </c>
    </row>
    <row r="103" spans="1:5" ht="15" hidden="1" thickBot="1">
      <c r="A103" s="24" t="s">
        <v>11</v>
      </c>
      <c r="B103" s="21">
        <v>26</v>
      </c>
      <c r="C103" s="21">
        <v>181.58</v>
      </c>
      <c r="D103" s="21">
        <v>252.46</v>
      </c>
      <c r="E103" s="12">
        <f>(Table10[[#This Row],[Unit Price]]-Table10[[#This Row],[Unit Cost]])*Table10[[#This Row],[Units Sold]]</f>
        <v>-1842.8799999999999</v>
      </c>
    </row>
    <row r="104" spans="1:5" ht="15" hidden="1" thickBot="1">
      <c r="A104" s="25" t="s">
        <v>48</v>
      </c>
      <c r="B104" s="12">
        <v>369</v>
      </c>
      <c r="C104" s="12">
        <v>269.08999999999997</v>
      </c>
      <c r="D104" s="12">
        <v>81.14</v>
      </c>
      <c r="E104" s="12">
        <f>(Table10[[#This Row],[Unit Price]]-Table10[[#This Row],[Unit Cost]])*Table10[[#This Row],[Units Sold]]</f>
        <v>69353.55</v>
      </c>
    </row>
    <row r="105" spans="1:5" ht="15" hidden="1" thickBot="1">
      <c r="A105" s="24" t="s">
        <v>48</v>
      </c>
      <c r="B105" s="21">
        <v>232</v>
      </c>
      <c r="C105" s="21">
        <v>391.99</v>
      </c>
      <c r="D105" s="21">
        <v>27.72</v>
      </c>
      <c r="E105" s="12">
        <f>(Table10[[#This Row],[Unit Price]]-Table10[[#This Row],[Unit Cost]])*Table10[[#This Row],[Units Sold]]</f>
        <v>84510.64</v>
      </c>
    </row>
    <row r="106" spans="1:5" ht="15" thickBot="1">
      <c r="A106" s="25" t="s">
        <v>17</v>
      </c>
      <c r="B106" s="12">
        <v>363</v>
      </c>
      <c r="C106" s="12">
        <v>354.17</v>
      </c>
      <c r="D106" s="12">
        <v>18.97</v>
      </c>
      <c r="E106" s="12">
        <f>(Table10[[#This Row],[Unit Price]]-Table10[[#This Row],[Unit Cost]])*Table10[[#This Row],[Units Sold]]</f>
        <v>121677.60000000002</v>
      </c>
    </row>
    <row r="107" spans="1:5" ht="15" hidden="1" thickBot="1">
      <c r="A107" s="24" t="s">
        <v>48</v>
      </c>
      <c r="B107" s="21">
        <v>197</v>
      </c>
      <c r="C107" s="21">
        <v>225.95</v>
      </c>
      <c r="D107" s="21">
        <v>149.82</v>
      </c>
      <c r="E107" s="12">
        <f>(Table10[[#This Row],[Unit Price]]-Table10[[#This Row],[Unit Cost]])*Table10[[#This Row],[Units Sold]]</f>
        <v>14997.609999999999</v>
      </c>
    </row>
    <row r="108" spans="1:5" ht="15" hidden="1" thickBot="1">
      <c r="A108" s="25" t="s">
        <v>48</v>
      </c>
      <c r="B108" s="12">
        <v>457</v>
      </c>
      <c r="C108" s="12">
        <v>432.79</v>
      </c>
      <c r="D108" s="12">
        <v>107.81</v>
      </c>
      <c r="E108" s="12">
        <f>(Table10[[#This Row],[Unit Price]]-Table10[[#This Row],[Unit Cost]])*Table10[[#This Row],[Units Sold]]</f>
        <v>148515.86000000002</v>
      </c>
    </row>
    <row r="109" spans="1:5" ht="15" hidden="1" thickBot="1">
      <c r="A109" s="24" t="s">
        <v>48</v>
      </c>
      <c r="B109" s="21">
        <v>353</v>
      </c>
      <c r="C109" s="21">
        <v>281.27999999999997</v>
      </c>
      <c r="D109" s="21">
        <v>259.14</v>
      </c>
      <c r="E109" s="12">
        <f>(Table10[[#This Row],[Unit Price]]-Table10[[#This Row],[Unit Cost]])*Table10[[#This Row],[Units Sold]]</f>
        <v>7815.4199999999955</v>
      </c>
    </row>
    <row r="110" spans="1:5" ht="15" thickBot="1">
      <c r="A110" s="25" t="s">
        <v>17</v>
      </c>
      <c r="B110" s="12">
        <v>374</v>
      </c>
      <c r="C110" s="12">
        <v>272.25</v>
      </c>
      <c r="D110" s="12">
        <v>200.73</v>
      </c>
      <c r="E110" s="12">
        <f>(Table10[[#This Row],[Unit Price]]-Table10[[#This Row],[Unit Cost]])*Table10[[#This Row],[Units Sold]]</f>
        <v>26748.480000000003</v>
      </c>
    </row>
    <row r="111" spans="1:5" ht="15" hidden="1" thickBot="1">
      <c r="A111" s="24" t="s">
        <v>48</v>
      </c>
      <c r="B111" s="21">
        <v>172</v>
      </c>
      <c r="C111" s="21">
        <v>21.92</v>
      </c>
      <c r="D111" s="21">
        <v>107.88</v>
      </c>
      <c r="E111" s="12">
        <f>(Table10[[#This Row],[Unit Price]]-Table10[[#This Row],[Unit Cost]])*Table10[[#This Row],[Units Sold]]</f>
        <v>-14785.119999999999</v>
      </c>
    </row>
    <row r="112" spans="1:5" ht="15" hidden="1" thickBot="1">
      <c r="A112" s="25" t="s">
        <v>11</v>
      </c>
      <c r="B112" s="12">
        <v>335</v>
      </c>
      <c r="C112" s="12">
        <v>493.41</v>
      </c>
      <c r="D112" s="12">
        <v>61.4</v>
      </c>
      <c r="E112" s="12">
        <f>(Table10[[#This Row],[Unit Price]]-Table10[[#This Row],[Unit Cost]])*Table10[[#This Row],[Units Sold]]</f>
        <v>144723.35</v>
      </c>
    </row>
    <row r="113" spans="1:5" ht="15" thickBot="1">
      <c r="A113" s="24" t="s">
        <v>17</v>
      </c>
      <c r="B113" s="21">
        <v>476</v>
      </c>
      <c r="C113" s="21">
        <v>65.87</v>
      </c>
      <c r="D113" s="21">
        <v>52.63</v>
      </c>
      <c r="E113" s="12">
        <f>(Table10[[#This Row],[Unit Price]]-Table10[[#This Row],[Unit Cost]])*Table10[[#This Row],[Units Sold]]</f>
        <v>6302.2400000000007</v>
      </c>
    </row>
    <row r="114" spans="1:5" ht="15" hidden="1" thickBot="1">
      <c r="A114" s="25" t="s">
        <v>11</v>
      </c>
      <c r="B114" s="12">
        <v>423</v>
      </c>
      <c r="C114" s="12">
        <v>119.41</v>
      </c>
      <c r="D114" s="12">
        <v>346.13</v>
      </c>
      <c r="E114" s="12">
        <f>(Table10[[#This Row],[Unit Price]]-Table10[[#This Row],[Unit Cost]])*Table10[[#This Row],[Units Sold]]</f>
        <v>-95902.56</v>
      </c>
    </row>
    <row r="115" spans="1:5" ht="15" thickBot="1">
      <c r="A115" s="24" t="s">
        <v>17</v>
      </c>
      <c r="B115" s="21">
        <v>464</v>
      </c>
      <c r="C115" s="21">
        <v>30.59</v>
      </c>
      <c r="D115" s="21">
        <v>98.9</v>
      </c>
      <c r="E115" s="12">
        <f>(Table10[[#This Row],[Unit Price]]-Table10[[#This Row],[Unit Cost]])*Table10[[#This Row],[Units Sold]]</f>
        <v>-31695.84</v>
      </c>
    </row>
    <row r="116" spans="1:5" ht="15" hidden="1" thickBot="1">
      <c r="A116" s="25" t="s">
        <v>48</v>
      </c>
      <c r="B116" s="12">
        <v>83</v>
      </c>
      <c r="C116" s="12">
        <v>321.8</v>
      </c>
      <c r="D116" s="12">
        <v>261.38</v>
      </c>
      <c r="E116" s="12">
        <f>(Table10[[#This Row],[Unit Price]]-Table10[[#This Row],[Unit Cost]])*Table10[[#This Row],[Units Sold]]</f>
        <v>5014.8600000000015</v>
      </c>
    </row>
    <row r="117" spans="1:5" ht="15" hidden="1" thickBot="1">
      <c r="A117" s="24" t="s">
        <v>11</v>
      </c>
      <c r="B117" s="21">
        <v>242</v>
      </c>
      <c r="C117" s="21">
        <v>116.23</v>
      </c>
      <c r="D117" s="21">
        <v>324.64999999999998</v>
      </c>
      <c r="E117" s="12">
        <f>(Table10[[#This Row],[Unit Price]]-Table10[[#This Row],[Unit Cost]])*Table10[[#This Row],[Units Sold]]</f>
        <v>-50437.639999999992</v>
      </c>
    </row>
    <row r="118" spans="1:5" ht="15" thickBot="1">
      <c r="A118" s="25" t="s">
        <v>17</v>
      </c>
      <c r="B118" s="12">
        <v>233</v>
      </c>
      <c r="C118" s="12">
        <v>94.11</v>
      </c>
      <c r="D118" s="12">
        <v>246.4</v>
      </c>
      <c r="E118" s="12">
        <f>(Table10[[#This Row],[Unit Price]]-Table10[[#This Row],[Unit Cost]])*Table10[[#This Row],[Units Sold]]</f>
        <v>-35483.570000000007</v>
      </c>
    </row>
    <row r="119" spans="1:5" ht="15" hidden="1" thickBot="1">
      <c r="A119" s="24" t="s">
        <v>22</v>
      </c>
      <c r="B119" s="21">
        <v>491</v>
      </c>
      <c r="C119" s="21">
        <v>48.84</v>
      </c>
      <c r="D119" s="21">
        <v>344.11</v>
      </c>
      <c r="E119" s="12">
        <f>(Table10[[#This Row],[Unit Price]]-Table10[[#This Row],[Unit Cost]])*Table10[[#This Row],[Units Sold]]</f>
        <v>-144977.56999999998</v>
      </c>
    </row>
    <row r="120" spans="1:5" ht="15" hidden="1" thickBot="1">
      <c r="A120" s="25"/>
      <c r="B120" s="12">
        <v>328</v>
      </c>
      <c r="C120" s="12">
        <v>56.14</v>
      </c>
      <c r="D120" s="12">
        <v>158.16999999999999</v>
      </c>
      <c r="E120" s="12">
        <f>(Table10[[#This Row],[Unit Price]]-Table10[[#This Row],[Unit Cost]])*Table10[[#This Row],[Units Sold]]</f>
        <v>-33465.839999999997</v>
      </c>
    </row>
    <row r="121" spans="1:5" ht="15" thickBot="1">
      <c r="A121" s="24" t="s">
        <v>17</v>
      </c>
      <c r="B121" s="21">
        <v>421</v>
      </c>
      <c r="C121" s="21">
        <v>294.41000000000003</v>
      </c>
      <c r="D121" s="21">
        <v>382.58</v>
      </c>
      <c r="E121" s="12">
        <f>(Table10[[#This Row],[Unit Price]]-Table10[[#This Row],[Unit Cost]])*Table10[[#This Row],[Units Sold]]</f>
        <v>-37119.569999999985</v>
      </c>
    </row>
    <row r="122" spans="1:5" ht="15" hidden="1" thickBot="1">
      <c r="A122" s="25" t="s">
        <v>22</v>
      </c>
      <c r="B122" s="12">
        <v>69</v>
      </c>
      <c r="C122" s="12">
        <v>345.66</v>
      </c>
      <c r="D122" s="12">
        <v>54.99</v>
      </c>
      <c r="E122" s="12">
        <f>(Table10[[#This Row],[Unit Price]]-Table10[[#This Row],[Unit Cost]])*Table10[[#This Row],[Units Sold]]</f>
        <v>20056.23</v>
      </c>
    </row>
    <row r="123" spans="1:5" ht="15" thickBot="1">
      <c r="A123" s="24" t="s">
        <v>17</v>
      </c>
      <c r="B123" s="21">
        <v>344</v>
      </c>
      <c r="C123" s="21">
        <v>201.7</v>
      </c>
      <c r="D123" s="21">
        <v>42.66</v>
      </c>
      <c r="E123" s="12">
        <f>(Table10[[#This Row],[Unit Price]]-Table10[[#This Row],[Unit Cost]])*Table10[[#This Row],[Units Sold]]</f>
        <v>54709.759999999995</v>
      </c>
    </row>
    <row r="124" spans="1:5" ht="15" hidden="1" thickBot="1">
      <c r="A124" s="25"/>
      <c r="B124" s="12">
        <v>231</v>
      </c>
      <c r="C124" s="12">
        <v>242.55</v>
      </c>
      <c r="D124" s="12">
        <v>264.16000000000003</v>
      </c>
      <c r="E124" s="12">
        <f>(Table10[[#This Row],[Unit Price]]-Table10[[#This Row],[Unit Cost]])*Table10[[#This Row],[Units Sold]]</f>
        <v>-4991.9100000000035</v>
      </c>
    </row>
    <row r="125" spans="1:5" ht="15" hidden="1" thickBot="1">
      <c r="A125" s="24" t="s">
        <v>48</v>
      </c>
      <c r="B125" s="21">
        <v>46</v>
      </c>
      <c r="C125" s="21">
        <v>344.55</v>
      </c>
      <c r="D125" s="21">
        <v>377.25</v>
      </c>
      <c r="E125" s="12">
        <f>(Table10[[#This Row],[Unit Price]]-Table10[[#This Row],[Unit Cost]])*Table10[[#This Row],[Units Sold]]</f>
        <v>-1504.1999999999994</v>
      </c>
    </row>
    <row r="126" spans="1:5" ht="15" hidden="1" thickBot="1">
      <c r="A126" s="25" t="s">
        <v>11</v>
      </c>
      <c r="B126" s="12">
        <v>486</v>
      </c>
      <c r="C126" s="12">
        <v>13.6</v>
      </c>
      <c r="D126" s="12">
        <v>323.94</v>
      </c>
      <c r="E126" s="12">
        <f>(Table10[[#This Row],[Unit Price]]-Table10[[#This Row],[Unit Cost]])*Table10[[#This Row],[Units Sold]]</f>
        <v>-150825.24</v>
      </c>
    </row>
    <row r="127" spans="1:5" ht="15" hidden="1" thickBot="1">
      <c r="A127" s="24" t="s">
        <v>22</v>
      </c>
      <c r="B127" s="21">
        <v>287</v>
      </c>
      <c r="C127" s="21">
        <v>164.95</v>
      </c>
      <c r="D127" s="21">
        <v>32.409999999999997</v>
      </c>
      <c r="E127" s="12">
        <f>(Table10[[#This Row],[Unit Price]]-Table10[[#This Row],[Unit Cost]])*Table10[[#This Row],[Units Sold]]</f>
        <v>38038.979999999996</v>
      </c>
    </row>
    <row r="128" spans="1:5" ht="15" thickBot="1">
      <c r="A128" s="25" t="s">
        <v>17</v>
      </c>
      <c r="B128" s="12">
        <v>205</v>
      </c>
      <c r="C128" s="12">
        <v>486.68</v>
      </c>
      <c r="D128" s="12">
        <v>113.19</v>
      </c>
      <c r="E128" s="12">
        <f>(Table10[[#This Row],[Unit Price]]-Table10[[#This Row],[Unit Cost]])*Table10[[#This Row],[Units Sold]]</f>
        <v>76565.45</v>
      </c>
    </row>
    <row r="129" spans="1:5" ht="15" hidden="1" thickBot="1">
      <c r="A129" s="24" t="s">
        <v>48</v>
      </c>
      <c r="B129" s="21">
        <v>413</v>
      </c>
      <c r="C129" s="21">
        <v>292.16000000000003</v>
      </c>
      <c r="D129" s="21">
        <v>372.27</v>
      </c>
      <c r="E129" s="12">
        <f>(Table10[[#This Row],[Unit Price]]-Table10[[#This Row],[Unit Cost]])*Table10[[#This Row],[Units Sold]]</f>
        <v>-33085.429999999986</v>
      </c>
    </row>
    <row r="130" spans="1:5" ht="15" hidden="1" thickBot="1">
      <c r="A130" s="25" t="s">
        <v>22</v>
      </c>
      <c r="B130" s="12">
        <v>361</v>
      </c>
      <c r="C130" s="12">
        <v>130.84</v>
      </c>
      <c r="D130" s="12">
        <v>102.72</v>
      </c>
      <c r="E130" s="12">
        <f>(Table10[[#This Row],[Unit Price]]-Table10[[#This Row],[Unit Cost]])*Table10[[#This Row],[Units Sold]]</f>
        <v>10151.320000000002</v>
      </c>
    </row>
    <row r="131" spans="1:5" ht="15" thickBot="1">
      <c r="A131" s="24" t="s">
        <v>17</v>
      </c>
      <c r="B131" s="21">
        <v>493</v>
      </c>
      <c r="C131" s="21">
        <v>263.26</v>
      </c>
      <c r="D131" s="21">
        <v>312.91000000000003</v>
      </c>
      <c r="E131" s="12">
        <f>(Table10[[#This Row],[Unit Price]]-Table10[[#This Row],[Unit Cost]])*Table10[[#This Row],[Units Sold]]</f>
        <v>-24477.450000000015</v>
      </c>
    </row>
    <row r="132" spans="1:5" ht="15" thickBot="1">
      <c r="A132" s="25" t="s">
        <v>17</v>
      </c>
      <c r="B132" s="12">
        <v>251</v>
      </c>
      <c r="C132" s="12">
        <v>174.61</v>
      </c>
      <c r="D132" s="12">
        <v>330.4</v>
      </c>
      <c r="E132" s="12">
        <f>(Table10[[#This Row],[Unit Price]]-Table10[[#This Row],[Unit Cost]])*Table10[[#This Row],[Units Sold]]</f>
        <v>-39103.289999999994</v>
      </c>
    </row>
    <row r="133" spans="1:5" ht="15" thickBot="1">
      <c r="A133" s="24" t="s">
        <v>17</v>
      </c>
      <c r="B133" s="21"/>
      <c r="C133" s="21">
        <v>268.45999999999998</v>
      </c>
      <c r="D133" s="21">
        <v>199.19</v>
      </c>
      <c r="E133" s="12">
        <f>(Table10[[#This Row],[Unit Price]]-Table10[[#This Row],[Unit Cost]])*Table10[[#This Row],[Units Sold]]</f>
        <v>0</v>
      </c>
    </row>
    <row r="134" spans="1:5" ht="15" hidden="1" thickBot="1">
      <c r="A134" s="25" t="s">
        <v>22</v>
      </c>
      <c r="B134" s="12">
        <v>228</v>
      </c>
      <c r="C134" s="12">
        <v>67.239999999999995</v>
      </c>
      <c r="D134" s="12">
        <v>155.77000000000001</v>
      </c>
      <c r="E134" s="12">
        <f>(Table10[[#This Row],[Unit Price]]-Table10[[#This Row],[Unit Cost]])*Table10[[#This Row],[Units Sold]]</f>
        <v>-20184.840000000004</v>
      </c>
    </row>
    <row r="135" spans="1:5" ht="15" hidden="1" thickBot="1">
      <c r="A135" s="24" t="s">
        <v>22</v>
      </c>
      <c r="B135" s="21">
        <v>201</v>
      </c>
      <c r="C135" s="21">
        <v>70.69</v>
      </c>
      <c r="D135" s="21">
        <v>181.15</v>
      </c>
      <c r="E135" s="12">
        <f>(Table10[[#This Row],[Unit Price]]-Table10[[#This Row],[Unit Cost]])*Table10[[#This Row],[Units Sold]]</f>
        <v>-22202.460000000003</v>
      </c>
    </row>
    <row r="136" spans="1:5" ht="15" hidden="1" thickBot="1">
      <c r="A136" s="25" t="s">
        <v>22</v>
      </c>
      <c r="B136" s="12">
        <v>26</v>
      </c>
      <c r="C136" s="12">
        <v>76.05</v>
      </c>
      <c r="D136" s="12">
        <v>92.33</v>
      </c>
      <c r="E136" s="12">
        <f>(Table10[[#This Row],[Unit Price]]-Table10[[#This Row],[Unit Cost]])*Table10[[#This Row],[Units Sold]]</f>
        <v>-423.28000000000003</v>
      </c>
    </row>
    <row r="137" spans="1:5" ht="15" hidden="1" thickBot="1">
      <c r="A137" s="24" t="s">
        <v>11</v>
      </c>
      <c r="B137" s="21">
        <v>21</v>
      </c>
      <c r="C137" s="21">
        <v>470.21</v>
      </c>
      <c r="D137" s="21">
        <v>355.98</v>
      </c>
      <c r="E137" s="12">
        <f>(Table10[[#This Row],[Unit Price]]-Table10[[#This Row],[Unit Cost]])*Table10[[#This Row],[Units Sold]]</f>
        <v>2398.829999999999</v>
      </c>
    </row>
    <row r="138" spans="1:5" ht="15" hidden="1" thickBot="1">
      <c r="A138" s="25" t="s">
        <v>22</v>
      </c>
      <c r="B138" s="12">
        <v>415</v>
      </c>
      <c r="C138" s="12">
        <v>367.78</v>
      </c>
      <c r="D138" s="12">
        <v>181.35</v>
      </c>
      <c r="E138" s="12">
        <f>(Table10[[#This Row],[Unit Price]]-Table10[[#This Row],[Unit Cost]])*Table10[[#This Row],[Units Sold]]</f>
        <v>77368.45</v>
      </c>
    </row>
    <row r="139" spans="1:5" ht="15" hidden="1" thickBot="1">
      <c r="A139" s="24" t="s">
        <v>22</v>
      </c>
      <c r="B139" s="21">
        <v>410</v>
      </c>
      <c r="C139" s="21">
        <v>85.38</v>
      </c>
      <c r="D139" s="21">
        <v>353.22</v>
      </c>
      <c r="E139" s="12">
        <f>(Table10[[#This Row],[Unit Price]]-Table10[[#This Row],[Unit Cost]])*Table10[[#This Row],[Units Sold]]</f>
        <v>-109814.40000000001</v>
      </c>
    </row>
    <row r="140" spans="1:5" ht="15" hidden="1" thickBot="1">
      <c r="A140" s="25" t="s">
        <v>22</v>
      </c>
      <c r="B140" s="12">
        <v>403</v>
      </c>
      <c r="C140" s="12">
        <v>98.23</v>
      </c>
      <c r="D140" s="12">
        <v>44.07</v>
      </c>
      <c r="E140" s="12">
        <f>(Table10[[#This Row],[Unit Price]]-Table10[[#This Row],[Unit Cost]])*Table10[[#This Row],[Units Sold]]</f>
        <v>21826.480000000003</v>
      </c>
    </row>
    <row r="141" spans="1:5" ht="15" hidden="1" thickBot="1">
      <c r="A141" s="24" t="s">
        <v>11</v>
      </c>
      <c r="B141" s="21">
        <v>383</v>
      </c>
      <c r="C141" s="21">
        <v>366.76</v>
      </c>
      <c r="D141" s="21">
        <v>395.33</v>
      </c>
      <c r="E141" s="12">
        <f>(Table10[[#This Row],[Unit Price]]-Table10[[#This Row],[Unit Cost]])*Table10[[#This Row],[Units Sold]]</f>
        <v>-10942.309999999998</v>
      </c>
    </row>
    <row r="142" spans="1:5" ht="15" hidden="1" thickBot="1">
      <c r="A142" s="25" t="s">
        <v>22</v>
      </c>
      <c r="B142" s="12">
        <v>202</v>
      </c>
      <c r="C142" s="12">
        <v>82.3</v>
      </c>
      <c r="D142" s="12">
        <v>178.42</v>
      </c>
      <c r="E142" s="12">
        <f>(Table10[[#This Row],[Unit Price]]-Table10[[#This Row],[Unit Cost]])*Table10[[#This Row],[Units Sold]]</f>
        <v>-19416.239999999998</v>
      </c>
    </row>
    <row r="143" spans="1:5" ht="15" thickBot="1">
      <c r="A143" s="24" t="s">
        <v>17</v>
      </c>
      <c r="B143" s="21">
        <v>31</v>
      </c>
      <c r="C143" s="21">
        <v>121.11</v>
      </c>
      <c r="D143" s="21">
        <v>21.04</v>
      </c>
      <c r="E143" s="12">
        <f>(Table10[[#This Row],[Unit Price]]-Table10[[#This Row],[Unit Cost]])*Table10[[#This Row],[Units Sold]]</f>
        <v>3102.1699999999996</v>
      </c>
    </row>
    <row r="144" spans="1:5" ht="15" hidden="1" thickBot="1">
      <c r="A144" s="25" t="s">
        <v>22</v>
      </c>
      <c r="B144" s="12">
        <v>483</v>
      </c>
      <c r="C144" s="12">
        <v>481.86</v>
      </c>
      <c r="D144" s="12">
        <v>17.13</v>
      </c>
      <c r="E144" s="12">
        <f>(Table10[[#This Row],[Unit Price]]-Table10[[#This Row],[Unit Cost]])*Table10[[#This Row],[Units Sold]]</f>
        <v>224464.59</v>
      </c>
    </row>
    <row r="145" spans="1:5" ht="15" thickBot="1">
      <c r="A145" s="24" t="s">
        <v>17</v>
      </c>
      <c r="B145" s="21">
        <v>129</v>
      </c>
      <c r="C145" s="21">
        <v>131.38</v>
      </c>
      <c r="D145" s="21">
        <v>298.99</v>
      </c>
      <c r="E145" s="12">
        <f>(Table10[[#This Row],[Unit Price]]-Table10[[#This Row],[Unit Cost]])*Table10[[#This Row],[Units Sold]]</f>
        <v>-21621.690000000002</v>
      </c>
    </row>
    <row r="146" spans="1:5" ht="15" thickBot="1">
      <c r="A146" s="25" t="s">
        <v>17</v>
      </c>
      <c r="B146" s="12">
        <v>219</v>
      </c>
      <c r="C146" s="12">
        <v>332.51</v>
      </c>
      <c r="D146" s="12">
        <v>264.3</v>
      </c>
      <c r="E146" s="12">
        <f>(Table10[[#This Row],[Unit Price]]-Table10[[#This Row],[Unit Cost]])*Table10[[#This Row],[Units Sold]]</f>
        <v>14937.989999999996</v>
      </c>
    </row>
    <row r="147" spans="1:5" ht="15" thickBot="1">
      <c r="A147" s="24" t="s">
        <v>17</v>
      </c>
      <c r="B147" s="21">
        <v>315</v>
      </c>
      <c r="C147" s="21">
        <v>489.42</v>
      </c>
      <c r="D147" s="21">
        <v>321.25</v>
      </c>
      <c r="E147" s="12">
        <f>(Table10[[#This Row],[Unit Price]]-Table10[[#This Row],[Unit Cost]])*Table10[[#This Row],[Units Sold]]</f>
        <v>52973.55</v>
      </c>
    </row>
    <row r="148" spans="1:5" ht="15" hidden="1" thickBot="1">
      <c r="A148" s="25" t="s">
        <v>11</v>
      </c>
      <c r="B148" s="12">
        <v>279</v>
      </c>
      <c r="C148" s="12">
        <v>190.28</v>
      </c>
      <c r="D148" s="12">
        <v>43.94</v>
      </c>
      <c r="E148" s="12">
        <f>(Table10[[#This Row],[Unit Price]]-Table10[[#This Row],[Unit Cost]])*Table10[[#This Row],[Units Sold]]</f>
        <v>40828.86</v>
      </c>
    </row>
    <row r="149" spans="1:5" ht="15" hidden="1" thickBot="1">
      <c r="A149" s="24" t="s">
        <v>11</v>
      </c>
      <c r="B149" s="21">
        <v>201</v>
      </c>
      <c r="C149" s="21">
        <v>13.67</v>
      </c>
      <c r="D149" s="21">
        <v>16.16</v>
      </c>
      <c r="E149" s="12">
        <f>(Table10[[#This Row],[Unit Price]]-Table10[[#This Row],[Unit Cost]])*Table10[[#This Row],[Units Sold]]</f>
        <v>-500.49000000000007</v>
      </c>
    </row>
    <row r="150" spans="1:5" ht="15" hidden="1" thickBot="1">
      <c r="A150" s="25" t="s">
        <v>11</v>
      </c>
      <c r="B150" s="12">
        <v>184</v>
      </c>
      <c r="C150" s="12">
        <v>125.85</v>
      </c>
      <c r="D150" s="12">
        <v>204.41</v>
      </c>
      <c r="E150" s="12">
        <f>(Table10[[#This Row],[Unit Price]]-Table10[[#This Row],[Unit Cost]])*Table10[[#This Row],[Units Sold]]</f>
        <v>-14455.04</v>
      </c>
    </row>
    <row r="151" spans="1:5" ht="15" hidden="1" thickBot="1">
      <c r="A151" s="24" t="s">
        <v>22</v>
      </c>
      <c r="B151" s="21">
        <v>294</v>
      </c>
      <c r="C151" s="21">
        <v>416.28</v>
      </c>
      <c r="D151" s="21">
        <v>156.26</v>
      </c>
      <c r="E151" s="12">
        <f>(Table10[[#This Row],[Unit Price]]-Table10[[#This Row],[Unit Cost]])*Table10[[#This Row],[Units Sold]]</f>
        <v>76445.87999999999</v>
      </c>
    </row>
    <row r="152" spans="1:5" ht="15" thickBot="1">
      <c r="A152" s="25" t="s">
        <v>17</v>
      </c>
      <c r="B152" s="12">
        <v>213</v>
      </c>
      <c r="C152" s="12">
        <v>432.98</v>
      </c>
      <c r="D152" s="12">
        <v>185.85</v>
      </c>
      <c r="E152" s="12">
        <f>(Table10[[#This Row],[Unit Price]]-Table10[[#This Row],[Unit Cost]])*Table10[[#This Row],[Units Sold]]</f>
        <v>52638.69</v>
      </c>
    </row>
    <row r="153" spans="1:5" ht="15" hidden="1" thickBot="1">
      <c r="A153" s="24" t="s">
        <v>11</v>
      </c>
      <c r="B153" s="21">
        <v>173</v>
      </c>
      <c r="C153" s="21">
        <v>385.42</v>
      </c>
      <c r="D153" s="21">
        <v>396.65</v>
      </c>
      <c r="E153" s="12">
        <f>(Table10[[#This Row],[Unit Price]]-Table10[[#This Row],[Unit Cost]])*Table10[[#This Row],[Units Sold]]</f>
        <v>-1942.7899999999934</v>
      </c>
    </row>
    <row r="154" spans="1:5" ht="15" hidden="1" thickBot="1">
      <c r="A154" s="25" t="s">
        <v>11</v>
      </c>
      <c r="B154" s="12">
        <v>260</v>
      </c>
      <c r="C154" s="12">
        <v>60.99</v>
      </c>
      <c r="D154" s="12">
        <v>388.36</v>
      </c>
      <c r="E154" s="12">
        <f>(Table10[[#This Row],[Unit Price]]-Table10[[#This Row],[Unit Cost]])*Table10[[#This Row],[Units Sold]]</f>
        <v>-85116.2</v>
      </c>
    </row>
    <row r="155" spans="1:5" ht="15" hidden="1" thickBot="1">
      <c r="A155" s="24" t="s">
        <v>22</v>
      </c>
      <c r="B155" s="21">
        <v>236</v>
      </c>
      <c r="C155" s="21">
        <v>398.78</v>
      </c>
      <c r="D155" s="21">
        <v>377.04</v>
      </c>
      <c r="E155" s="12">
        <f>(Table10[[#This Row],[Unit Price]]-Table10[[#This Row],[Unit Cost]])*Table10[[#This Row],[Units Sold]]</f>
        <v>5130.6399999999885</v>
      </c>
    </row>
    <row r="156" spans="1:5" ht="15" hidden="1" thickBot="1">
      <c r="A156" s="25" t="s">
        <v>11</v>
      </c>
      <c r="B156" s="12">
        <v>445</v>
      </c>
      <c r="C156" s="12">
        <v>459.75</v>
      </c>
      <c r="D156" s="12">
        <v>313.97000000000003</v>
      </c>
      <c r="E156" s="12">
        <f>(Table10[[#This Row],[Unit Price]]-Table10[[#This Row],[Unit Cost]])*Table10[[#This Row],[Units Sold]]</f>
        <v>64872.099999999991</v>
      </c>
    </row>
    <row r="157" spans="1:5" ht="15" hidden="1" thickBot="1">
      <c r="A157" s="24" t="s">
        <v>22</v>
      </c>
      <c r="B157" s="21">
        <v>390</v>
      </c>
      <c r="C157" s="21">
        <v>302.3</v>
      </c>
      <c r="D157" s="21">
        <v>143.22999999999999</v>
      </c>
      <c r="E157" s="12">
        <f>(Table10[[#This Row],[Unit Price]]-Table10[[#This Row],[Unit Cost]])*Table10[[#This Row],[Units Sold]]</f>
        <v>62037.30000000001</v>
      </c>
    </row>
    <row r="158" spans="1:5" ht="15" hidden="1" thickBot="1">
      <c r="A158" s="25" t="s">
        <v>48</v>
      </c>
      <c r="B158" s="12">
        <v>469</v>
      </c>
      <c r="C158" s="12">
        <v>470.73</v>
      </c>
      <c r="D158" s="12">
        <v>166.03</v>
      </c>
      <c r="E158" s="12">
        <f>(Table10[[#This Row],[Unit Price]]-Table10[[#This Row],[Unit Cost]])*Table10[[#This Row],[Units Sold]]</f>
        <v>142904.30000000002</v>
      </c>
    </row>
    <row r="159" spans="1:5" ht="15" hidden="1" thickBot="1">
      <c r="A159" s="24" t="s">
        <v>11</v>
      </c>
      <c r="B159" s="21">
        <v>16</v>
      </c>
      <c r="C159" s="21"/>
      <c r="D159" s="21">
        <v>220.75</v>
      </c>
      <c r="E159" s="12">
        <f>(Table10[[#This Row],[Unit Price]]-Table10[[#This Row],[Unit Cost]])*Table10[[#This Row],[Units Sold]]</f>
        <v>-3532</v>
      </c>
    </row>
    <row r="160" spans="1:5" ht="15" hidden="1" thickBot="1">
      <c r="A160" s="25" t="s">
        <v>48</v>
      </c>
      <c r="B160" s="12">
        <v>38</v>
      </c>
      <c r="C160" s="12">
        <v>335.15</v>
      </c>
      <c r="D160" s="12">
        <v>332.55</v>
      </c>
      <c r="E160" s="12">
        <f>(Table10[[#This Row],[Unit Price]]-Table10[[#This Row],[Unit Cost]])*Table10[[#This Row],[Units Sold]]</f>
        <v>98.799999999998704</v>
      </c>
    </row>
    <row r="161" spans="1:5" ht="15" hidden="1" thickBot="1">
      <c r="A161" s="24" t="s">
        <v>22</v>
      </c>
      <c r="B161" s="21">
        <v>404</v>
      </c>
      <c r="C161" s="21">
        <v>290.70999999999998</v>
      </c>
      <c r="D161" s="21">
        <v>29.35</v>
      </c>
      <c r="E161" s="12">
        <f>(Table10[[#This Row],[Unit Price]]-Table10[[#This Row],[Unit Cost]])*Table10[[#This Row],[Units Sold]]</f>
        <v>105589.43999999999</v>
      </c>
    </row>
    <row r="162" spans="1:5" ht="15" thickBot="1">
      <c r="A162" s="25" t="s">
        <v>17</v>
      </c>
      <c r="B162" s="12">
        <v>42</v>
      </c>
      <c r="C162" s="12">
        <v>177.54</v>
      </c>
      <c r="D162" s="12">
        <v>170.87</v>
      </c>
      <c r="E162" s="12">
        <f>(Table10[[#This Row],[Unit Price]]-Table10[[#This Row],[Unit Cost]])*Table10[[#This Row],[Units Sold]]</f>
        <v>280.13999999999947</v>
      </c>
    </row>
    <row r="163" spans="1:5" ht="15" hidden="1" thickBot="1">
      <c r="A163" s="24" t="s">
        <v>11</v>
      </c>
      <c r="B163" s="21">
        <v>143</v>
      </c>
      <c r="C163" s="21">
        <v>83.85</v>
      </c>
      <c r="D163" s="21">
        <v>34.880000000000003</v>
      </c>
      <c r="E163" s="12">
        <f>(Table10[[#This Row],[Unit Price]]-Table10[[#This Row],[Unit Cost]])*Table10[[#This Row],[Units Sold]]</f>
        <v>7002.7099999999991</v>
      </c>
    </row>
    <row r="164" spans="1:5" ht="15" hidden="1" thickBot="1">
      <c r="A164" s="25" t="s">
        <v>22</v>
      </c>
      <c r="B164" s="12">
        <v>376</v>
      </c>
      <c r="C164" s="12">
        <v>304.45</v>
      </c>
      <c r="D164" s="12">
        <v>206.83</v>
      </c>
      <c r="E164" s="12">
        <f>(Table10[[#This Row],[Unit Price]]-Table10[[#This Row],[Unit Cost]])*Table10[[#This Row],[Units Sold]]</f>
        <v>36705.119999999988</v>
      </c>
    </row>
    <row r="165" spans="1:5" ht="15" thickBot="1">
      <c r="A165" s="24" t="s">
        <v>17</v>
      </c>
      <c r="B165" s="21">
        <v>88</v>
      </c>
      <c r="C165" s="21">
        <v>162.47</v>
      </c>
      <c r="D165" s="21">
        <v>359.76</v>
      </c>
      <c r="E165" s="12">
        <f>(Table10[[#This Row],[Unit Price]]-Table10[[#This Row],[Unit Cost]])*Table10[[#This Row],[Units Sold]]</f>
        <v>-17361.52</v>
      </c>
    </row>
    <row r="166" spans="1:5" ht="15" thickBot="1">
      <c r="A166" s="25" t="s">
        <v>17</v>
      </c>
      <c r="B166" s="12">
        <v>425</v>
      </c>
      <c r="C166" s="12">
        <v>433.89</v>
      </c>
      <c r="D166" s="12">
        <v>313.43</v>
      </c>
      <c r="E166" s="12">
        <f>(Table10[[#This Row],[Unit Price]]-Table10[[#This Row],[Unit Cost]])*Table10[[#This Row],[Units Sold]]</f>
        <v>51195.499999999993</v>
      </c>
    </row>
    <row r="167" spans="1:5" ht="15" hidden="1" thickBot="1">
      <c r="A167" s="24" t="s">
        <v>48</v>
      </c>
      <c r="B167" s="21">
        <v>444</v>
      </c>
      <c r="C167" s="21">
        <v>496.7</v>
      </c>
      <c r="D167" s="21">
        <v>92.68</v>
      </c>
      <c r="E167" s="12">
        <f>(Table10[[#This Row],[Unit Price]]-Table10[[#This Row],[Unit Cost]])*Table10[[#This Row],[Units Sold]]</f>
        <v>179384.88</v>
      </c>
    </row>
    <row r="168" spans="1:5" ht="15" hidden="1" thickBot="1">
      <c r="A168" s="25" t="s">
        <v>22</v>
      </c>
      <c r="B168" s="12">
        <v>468</v>
      </c>
      <c r="C168" s="12">
        <v>377.45</v>
      </c>
      <c r="D168" s="12">
        <v>390.44</v>
      </c>
      <c r="E168" s="12">
        <f>(Table10[[#This Row],[Unit Price]]-Table10[[#This Row],[Unit Cost]])*Table10[[#This Row],[Units Sold]]</f>
        <v>-6079.3200000000043</v>
      </c>
    </row>
    <row r="169" spans="1:5" ht="15" thickBot="1">
      <c r="A169" s="24" t="s">
        <v>17</v>
      </c>
      <c r="B169" s="21">
        <v>67</v>
      </c>
      <c r="C169" s="21">
        <v>49.79</v>
      </c>
      <c r="D169" s="21">
        <v>267.61</v>
      </c>
      <c r="E169" s="12">
        <f>(Table10[[#This Row],[Unit Price]]-Table10[[#This Row],[Unit Cost]])*Table10[[#This Row],[Units Sold]]</f>
        <v>-14593.940000000002</v>
      </c>
    </row>
    <row r="170" spans="1:5" ht="15" hidden="1" thickBot="1">
      <c r="A170" s="25" t="s">
        <v>11</v>
      </c>
      <c r="B170" s="12">
        <v>480</v>
      </c>
      <c r="C170" s="12">
        <v>147.9</v>
      </c>
      <c r="D170" s="12">
        <v>6.15</v>
      </c>
      <c r="E170" s="12">
        <f>(Table10[[#This Row],[Unit Price]]-Table10[[#This Row],[Unit Cost]])*Table10[[#This Row],[Units Sold]]</f>
        <v>68040</v>
      </c>
    </row>
    <row r="171" spans="1:5" ht="15" hidden="1" thickBot="1">
      <c r="A171" s="24" t="s">
        <v>11</v>
      </c>
      <c r="B171" s="21">
        <v>35</v>
      </c>
      <c r="C171" s="21">
        <v>59.01</v>
      </c>
      <c r="D171" s="21">
        <v>103.65</v>
      </c>
      <c r="E171" s="12">
        <f>(Table10[[#This Row],[Unit Price]]-Table10[[#This Row],[Unit Cost]])*Table10[[#This Row],[Units Sold]]</f>
        <v>-1562.4000000000003</v>
      </c>
    </row>
    <row r="172" spans="1:5" ht="15" hidden="1" thickBot="1">
      <c r="A172" s="25" t="s">
        <v>48</v>
      </c>
      <c r="B172" s="12">
        <v>491</v>
      </c>
      <c r="C172" s="12">
        <v>327</v>
      </c>
      <c r="D172" s="12">
        <v>105.76</v>
      </c>
      <c r="E172" s="12">
        <f>(Table10[[#This Row],[Unit Price]]-Table10[[#This Row],[Unit Cost]])*Table10[[#This Row],[Units Sold]]</f>
        <v>108628.84000000001</v>
      </c>
    </row>
    <row r="173" spans="1:5" ht="15" thickBot="1">
      <c r="A173" s="24" t="s">
        <v>17</v>
      </c>
      <c r="B173" s="21">
        <v>439</v>
      </c>
      <c r="C173" s="21">
        <v>383.77</v>
      </c>
      <c r="D173" s="21">
        <v>29.56</v>
      </c>
      <c r="E173" s="12">
        <f>(Table10[[#This Row],[Unit Price]]-Table10[[#This Row],[Unit Cost]])*Table10[[#This Row],[Units Sold]]</f>
        <v>155498.19</v>
      </c>
    </row>
    <row r="174" spans="1:5" ht="15" hidden="1" thickBot="1">
      <c r="A174" s="25" t="s">
        <v>22</v>
      </c>
      <c r="B174" s="12">
        <v>235</v>
      </c>
      <c r="C174" s="12">
        <v>463.21</v>
      </c>
      <c r="D174" s="12">
        <v>384.01</v>
      </c>
      <c r="E174" s="12">
        <f>(Table10[[#This Row],[Unit Price]]-Table10[[#This Row],[Unit Cost]])*Table10[[#This Row],[Units Sold]]</f>
        <v>18611.999999999996</v>
      </c>
    </row>
    <row r="175" spans="1:5" ht="15" hidden="1" thickBot="1">
      <c r="A175" s="24" t="s">
        <v>11</v>
      </c>
      <c r="B175" s="21">
        <v>294</v>
      </c>
      <c r="C175" s="21">
        <v>221.9</v>
      </c>
      <c r="D175" s="21">
        <v>192.35</v>
      </c>
      <c r="E175" s="12">
        <f>(Table10[[#This Row],[Unit Price]]-Table10[[#This Row],[Unit Cost]])*Table10[[#This Row],[Units Sold]]</f>
        <v>8687.7000000000025</v>
      </c>
    </row>
    <row r="176" spans="1:5" ht="15" thickBot="1">
      <c r="A176" s="25" t="s">
        <v>17</v>
      </c>
      <c r="B176" s="12">
        <v>13</v>
      </c>
      <c r="C176" s="12">
        <v>451.18</v>
      </c>
      <c r="D176" s="12">
        <v>358.53</v>
      </c>
      <c r="E176" s="12">
        <f>(Table10[[#This Row],[Unit Price]]-Table10[[#This Row],[Unit Cost]])*Table10[[#This Row],[Units Sold]]</f>
        <v>1204.4500000000005</v>
      </c>
    </row>
    <row r="177" spans="1:5" ht="15" thickBot="1">
      <c r="A177" s="24" t="s">
        <v>17</v>
      </c>
      <c r="B177" s="21">
        <v>474</v>
      </c>
      <c r="C177" s="21">
        <v>439.56</v>
      </c>
      <c r="D177" s="21">
        <v>130.24</v>
      </c>
      <c r="E177" s="12">
        <f>(Table10[[#This Row],[Unit Price]]-Table10[[#This Row],[Unit Cost]])*Table10[[#This Row],[Units Sold]]</f>
        <v>146617.68</v>
      </c>
    </row>
    <row r="178" spans="1:5" ht="15" hidden="1" thickBot="1">
      <c r="A178" s="25" t="s">
        <v>48</v>
      </c>
      <c r="B178" s="12">
        <v>108</v>
      </c>
      <c r="C178" s="12">
        <v>162.01</v>
      </c>
      <c r="D178" s="12">
        <v>51.84</v>
      </c>
      <c r="E178" s="12">
        <f>(Table10[[#This Row],[Unit Price]]-Table10[[#This Row],[Unit Cost]])*Table10[[#This Row],[Units Sold]]</f>
        <v>11898.359999999999</v>
      </c>
    </row>
    <row r="179" spans="1:5" ht="15" hidden="1" thickBot="1">
      <c r="A179" s="24" t="s">
        <v>11</v>
      </c>
      <c r="B179" s="21">
        <v>406</v>
      </c>
      <c r="C179" s="21">
        <v>435.11</v>
      </c>
      <c r="D179" s="21">
        <v>190.79</v>
      </c>
      <c r="E179" s="12">
        <f>(Table10[[#This Row],[Unit Price]]-Table10[[#This Row],[Unit Cost]])*Table10[[#This Row],[Units Sold]]</f>
        <v>99193.920000000013</v>
      </c>
    </row>
    <row r="180" spans="1:5" ht="15" hidden="1" thickBot="1">
      <c r="A180" s="25" t="s">
        <v>11</v>
      </c>
      <c r="B180" s="12">
        <v>498</v>
      </c>
      <c r="C180" s="12">
        <v>190.96</v>
      </c>
      <c r="D180" s="12">
        <v>47.35</v>
      </c>
      <c r="E180" s="12">
        <f>(Table10[[#This Row],[Unit Price]]-Table10[[#This Row],[Unit Cost]])*Table10[[#This Row],[Units Sold]]</f>
        <v>71517.780000000013</v>
      </c>
    </row>
    <row r="181" spans="1:5" ht="15" hidden="1" thickBot="1">
      <c r="A181" s="24" t="s">
        <v>22</v>
      </c>
      <c r="B181" s="21">
        <v>48</v>
      </c>
      <c r="C181" s="21">
        <v>151.94999999999999</v>
      </c>
      <c r="D181" s="21">
        <v>195.43</v>
      </c>
      <c r="E181" s="12">
        <f>(Table10[[#This Row],[Unit Price]]-Table10[[#This Row],[Unit Cost]])*Table10[[#This Row],[Units Sold]]</f>
        <v>-2087.0400000000009</v>
      </c>
    </row>
    <row r="182" spans="1:5" ht="15" hidden="1" thickBot="1">
      <c r="A182" s="25" t="s">
        <v>11</v>
      </c>
      <c r="B182" s="12">
        <v>280</v>
      </c>
      <c r="C182" s="12">
        <v>326.29000000000002</v>
      </c>
      <c r="D182" s="12">
        <v>368.28</v>
      </c>
      <c r="E182" s="12">
        <f>(Table10[[#This Row],[Unit Price]]-Table10[[#This Row],[Unit Cost]])*Table10[[#This Row],[Units Sold]]</f>
        <v>-11757.199999999986</v>
      </c>
    </row>
    <row r="183" spans="1:5" ht="15" hidden="1" thickBot="1">
      <c r="A183" s="24" t="s">
        <v>22</v>
      </c>
      <c r="B183" s="21">
        <v>384</v>
      </c>
      <c r="C183" s="21">
        <v>167.55</v>
      </c>
      <c r="D183" s="21">
        <v>209.27</v>
      </c>
      <c r="E183" s="12">
        <f>(Table10[[#This Row],[Unit Price]]-Table10[[#This Row],[Unit Cost]])*Table10[[#This Row],[Units Sold]]</f>
        <v>-16020.48</v>
      </c>
    </row>
    <row r="184" spans="1:5" ht="15" hidden="1" thickBot="1">
      <c r="A184" s="25" t="s">
        <v>11</v>
      </c>
      <c r="B184" s="12">
        <v>294</v>
      </c>
      <c r="C184" s="12">
        <v>316.95</v>
      </c>
      <c r="D184" s="12">
        <v>247.37</v>
      </c>
      <c r="E184" s="12">
        <f>(Table10[[#This Row],[Unit Price]]-Table10[[#This Row],[Unit Cost]])*Table10[[#This Row],[Units Sold]]</f>
        <v>20456.519999999997</v>
      </c>
    </row>
    <row r="185" spans="1:5" ht="15" hidden="1" thickBot="1">
      <c r="A185" s="24" t="s">
        <v>48</v>
      </c>
      <c r="B185" s="21">
        <v>166</v>
      </c>
      <c r="C185" s="21">
        <v>306.87</v>
      </c>
      <c r="D185" s="21">
        <v>64.34</v>
      </c>
      <c r="E185" s="12">
        <f>(Table10[[#This Row],[Unit Price]]-Table10[[#This Row],[Unit Cost]])*Table10[[#This Row],[Units Sold]]</f>
        <v>40259.980000000003</v>
      </c>
    </row>
    <row r="186" spans="1:5" ht="15" hidden="1" thickBot="1">
      <c r="A186" s="25" t="s">
        <v>11</v>
      </c>
      <c r="B186" s="12">
        <v>84</v>
      </c>
      <c r="C186" s="12">
        <v>283.89999999999998</v>
      </c>
      <c r="D186" s="12">
        <v>19.41</v>
      </c>
      <c r="E186" s="12">
        <f>(Table10[[#This Row],[Unit Price]]-Table10[[#This Row],[Unit Cost]])*Table10[[#This Row],[Units Sold]]</f>
        <v>22217.159999999996</v>
      </c>
    </row>
    <row r="187" spans="1:5" ht="15" hidden="1" thickBot="1">
      <c r="A187" s="24" t="s">
        <v>22</v>
      </c>
      <c r="B187" s="21">
        <v>381</v>
      </c>
      <c r="C187" s="21">
        <v>193.31</v>
      </c>
      <c r="D187" s="21">
        <v>46.1</v>
      </c>
      <c r="E187" s="12">
        <f>(Table10[[#This Row],[Unit Price]]-Table10[[#This Row],[Unit Cost]])*Table10[[#This Row],[Units Sold]]</f>
        <v>56087.01</v>
      </c>
    </row>
    <row r="188" spans="1:5" ht="15" hidden="1" thickBot="1">
      <c r="A188" s="25" t="s">
        <v>22</v>
      </c>
      <c r="B188" s="12">
        <v>297</v>
      </c>
      <c r="C188" s="12">
        <v>276.51</v>
      </c>
      <c r="D188" s="12">
        <v>240.22</v>
      </c>
      <c r="E188" s="12">
        <f>(Table10[[#This Row],[Unit Price]]-Table10[[#This Row],[Unit Cost]])*Table10[[#This Row],[Units Sold]]</f>
        <v>10778.129999999997</v>
      </c>
    </row>
    <row r="189" spans="1:5" ht="15" hidden="1" thickBot="1">
      <c r="A189" s="24" t="s">
        <v>48</v>
      </c>
      <c r="B189" s="21">
        <v>139</v>
      </c>
      <c r="C189" s="21">
        <v>300.26</v>
      </c>
      <c r="D189" s="21">
        <v>39.81</v>
      </c>
      <c r="E189" s="12">
        <f>(Table10[[#This Row],[Unit Price]]-Table10[[#This Row],[Unit Cost]])*Table10[[#This Row],[Units Sold]]</f>
        <v>36202.549999999996</v>
      </c>
    </row>
    <row r="190" spans="1:5" ht="15" hidden="1" thickBot="1">
      <c r="A190" s="25" t="s">
        <v>11</v>
      </c>
      <c r="B190" s="12">
        <v>184</v>
      </c>
      <c r="C190" s="12">
        <v>275.12</v>
      </c>
      <c r="D190" s="12">
        <v>151.65</v>
      </c>
      <c r="E190" s="12">
        <f>(Table10[[#This Row],[Unit Price]]-Table10[[#This Row],[Unit Cost]])*Table10[[#This Row],[Units Sold]]</f>
        <v>22718.48</v>
      </c>
    </row>
    <row r="191" spans="1:5" ht="15" hidden="1" thickBot="1">
      <c r="A191" s="24" t="s">
        <v>11</v>
      </c>
      <c r="B191" s="21">
        <v>471</v>
      </c>
      <c r="C191" s="21">
        <v>224.99</v>
      </c>
      <c r="D191" s="21">
        <v>220.94</v>
      </c>
      <c r="E191" s="12">
        <f>(Table10[[#This Row],[Unit Price]]-Table10[[#This Row],[Unit Cost]])*Table10[[#This Row],[Units Sold]]</f>
        <v>1907.5500000000054</v>
      </c>
    </row>
    <row r="192" spans="1:5" ht="15" hidden="1" thickBot="1">
      <c r="A192" s="25" t="s">
        <v>48</v>
      </c>
      <c r="B192" s="12">
        <v>93</v>
      </c>
      <c r="C192" s="12">
        <v>12.26</v>
      </c>
      <c r="D192" s="12">
        <v>156.68</v>
      </c>
      <c r="E192" s="12">
        <f>(Table10[[#This Row],[Unit Price]]-Table10[[#This Row],[Unit Cost]])*Table10[[#This Row],[Units Sold]]</f>
        <v>-13431.060000000001</v>
      </c>
    </row>
    <row r="193" spans="1:5" ht="15" hidden="1" thickBot="1">
      <c r="A193" s="24" t="s">
        <v>11</v>
      </c>
      <c r="B193" s="21">
        <v>31</v>
      </c>
      <c r="C193" s="21">
        <v>295.60000000000002</v>
      </c>
      <c r="D193" s="21">
        <v>67.150000000000006</v>
      </c>
      <c r="E193" s="12">
        <f>(Table10[[#This Row],[Unit Price]]-Table10[[#This Row],[Unit Cost]])*Table10[[#This Row],[Units Sold]]</f>
        <v>7081.9500000000007</v>
      </c>
    </row>
    <row r="194" spans="1:5" ht="15" hidden="1" thickBot="1">
      <c r="A194" s="25" t="s">
        <v>11</v>
      </c>
      <c r="B194" s="12">
        <v>468</v>
      </c>
      <c r="C194" s="12">
        <v>88.38</v>
      </c>
      <c r="D194" s="12">
        <v>110.97</v>
      </c>
      <c r="E194" s="12">
        <f>(Table10[[#This Row],[Unit Price]]-Table10[[#This Row],[Unit Cost]])*Table10[[#This Row],[Units Sold]]</f>
        <v>-10572.12</v>
      </c>
    </row>
    <row r="195" spans="1:5" ht="15" hidden="1" thickBot="1">
      <c r="A195" s="24" t="s">
        <v>22</v>
      </c>
      <c r="B195" s="21">
        <v>36</v>
      </c>
      <c r="C195" s="21">
        <v>323.08</v>
      </c>
      <c r="D195" s="21">
        <v>371.47</v>
      </c>
      <c r="E195" s="12">
        <f>(Table10[[#This Row],[Unit Price]]-Table10[[#This Row],[Unit Cost]])*Table10[[#This Row],[Units Sold]]</f>
        <v>-1742.0400000000016</v>
      </c>
    </row>
    <row r="196" spans="1:5" ht="15" hidden="1" thickBot="1">
      <c r="A196" s="25" t="s">
        <v>11</v>
      </c>
      <c r="B196" s="12">
        <v>204</v>
      </c>
      <c r="C196" s="12">
        <v>380.88</v>
      </c>
      <c r="D196" s="12">
        <v>271.04000000000002</v>
      </c>
      <c r="E196" s="12">
        <f>(Table10[[#This Row],[Unit Price]]-Table10[[#This Row],[Unit Cost]])*Table10[[#This Row],[Units Sold]]</f>
        <v>22407.359999999993</v>
      </c>
    </row>
    <row r="197" spans="1:5" ht="15" hidden="1" thickBot="1">
      <c r="A197" s="24" t="s">
        <v>11</v>
      </c>
      <c r="B197" s="21">
        <v>346</v>
      </c>
      <c r="C197" s="21">
        <v>252.72</v>
      </c>
      <c r="D197" s="21">
        <v>199.43</v>
      </c>
      <c r="E197" s="12">
        <f>(Table10[[#This Row],[Unit Price]]-Table10[[#This Row],[Unit Cost]])*Table10[[#This Row],[Units Sold]]</f>
        <v>18438.339999999997</v>
      </c>
    </row>
    <row r="198" spans="1:5" ht="15" hidden="1" thickBot="1">
      <c r="A198" s="25" t="s">
        <v>48</v>
      </c>
      <c r="B198" s="12">
        <v>391</v>
      </c>
      <c r="C198" s="12">
        <v>273.47000000000003</v>
      </c>
      <c r="D198" s="12">
        <v>7.06</v>
      </c>
      <c r="E198" s="12">
        <f>(Table10[[#This Row],[Unit Price]]-Table10[[#This Row],[Unit Cost]])*Table10[[#This Row],[Units Sold]]</f>
        <v>104166.31000000001</v>
      </c>
    </row>
    <row r="199" spans="1:5" ht="15" hidden="1" thickBot="1">
      <c r="A199" s="24" t="s">
        <v>48</v>
      </c>
      <c r="B199" s="21">
        <v>245</v>
      </c>
      <c r="C199" s="21">
        <v>475.98</v>
      </c>
      <c r="D199" s="21">
        <v>396.98</v>
      </c>
      <c r="E199" s="12">
        <f>(Table10[[#This Row],[Unit Price]]-Table10[[#This Row],[Unit Cost]])*Table10[[#This Row],[Units Sold]]</f>
        <v>19355</v>
      </c>
    </row>
    <row r="200" spans="1:5" ht="15" thickBot="1">
      <c r="A200" s="25" t="s">
        <v>17</v>
      </c>
      <c r="B200" s="12">
        <v>449</v>
      </c>
      <c r="C200" s="12">
        <v>424.35</v>
      </c>
      <c r="D200" s="12">
        <v>269.24</v>
      </c>
      <c r="E200" s="12">
        <f>(Table10[[#This Row],[Unit Price]]-Table10[[#This Row],[Unit Cost]])*Table10[[#This Row],[Units Sold]]</f>
        <v>69644.39</v>
      </c>
    </row>
    <row r="201" spans="1:5" ht="15" hidden="1" thickBot="1">
      <c r="A201" s="24" t="s">
        <v>22</v>
      </c>
      <c r="B201" s="21">
        <v>101</v>
      </c>
      <c r="C201" s="21">
        <v>457.55</v>
      </c>
      <c r="D201" s="21">
        <v>128.13999999999999</v>
      </c>
      <c r="E201" s="12">
        <f>(Table10[[#This Row],[Unit Price]]-Table10[[#This Row],[Unit Cost]])*Table10[[#This Row],[Units Sold]]</f>
        <v>33270.410000000003</v>
      </c>
    </row>
    <row r="202" spans="1:5" ht="15" hidden="1" thickBot="1">
      <c r="A202" s="25" t="s">
        <v>11</v>
      </c>
      <c r="B202" s="12"/>
      <c r="C202" s="12">
        <v>407.81</v>
      </c>
      <c r="D202" s="12">
        <v>351.95</v>
      </c>
      <c r="E202" s="12">
        <f>(Table10[[#This Row],[Unit Price]]-Table10[[#This Row],[Unit Cost]])*Table10[[#This Row],[Units Sold]]</f>
        <v>0</v>
      </c>
    </row>
    <row r="203" spans="1:5" ht="15" hidden="1" thickBot="1">
      <c r="A203" s="24" t="s">
        <v>11</v>
      </c>
      <c r="B203" s="21">
        <v>30</v>
      </c>
      <c r="C203" s="21">
        <v>58.91</v>
      </c>
      <c r="D203" s="21">
        <v>104.86</v>
      </c>
      <c r="E203" s="12">
        <f>(Table10[[#This Row],[Unit Price]]-Table10[[#This Row],[Unit Cost]])*Table10[[#This Row],[Units Sold]]</f>
        <v>-1378.5</v>
      </c>
    </row>
    <row r="204" spans="1:5" ht="15" thickBot="1">
      <c r="A204" s="25" t="s">
        <v>17</v>
      </c>
      <c r="B204" s="12">
        <v>312</v>
      </c>
      <c r="C204" s="12">
        <v>78.75</v>
      </c>
      <c r="D204" s="12">
        <v>218.52</v>
      </c>
      <c r="E204" s="12">
        <f>(Table10[[#This Row],[Unit Price]]-Table10[[#This Row],[Unit Cost]])*Table10[[#This Row],[Units Sold]]</f>
        <v>-43608.240000000005</v>
      </c>
    </row>
    <row r="205" spans="1:5" ht="15" hidden="1" thickBot="1">
      <c r="A205" s="24" t="s">
        <v>11</v>
      </c>
      <c r="B205" s="21">
        <v>473</v>
      </c>
      <c r="C205" s="21">
        <v>265.68</v>
      </c>
      <c r="D205" s="21">
        <v>255.16</v>
      </c>
      <c r="E205" s="12">
        <f>(Table10[[#This Row],[Unit Price]]-Table10[[#This Row],[Unit Cost]])*Table10[[#This Row],[Units Sold]]</f>
        <v>4975.9600000000046</v>
      </c>
    </row>
    <row r="206" spans="1:5" ht="15" hidden="1" thickBot="1">
      <c r="A206" s="25" t="s">
        <v>22</v>
      </c>
      <c r="B206" s="12">
        <v>366</v>
      </c>
      <c r="C206" s="12">
        <v>126.8</v>
      </c>
      <c r="D206" s="12">
        <v>89.98</v>
      </c>
      <c r="E206" s="12">
        <f>(Table10[[#This Row],[Unit Price]]-Table10[[#This Row],[Unit Cost]])*Table10[[#This Row],[Units Sold]]</f>
        <v>13476.119999999997</v>
      </c>
    </row>
    <row r="207" spans="1:5" ht="15" thickBot="1">
      <c r="A207" s="24" t="s">
        <v>17</v>
      </c>
      <c r="B207" s="21">
        <v>452</v>
      </c>
      <c r="C207" s="21">
        <v>240.96</v>
      </c>
      <c r="D207" s="21">
        <v>391.4</v>
      </c>
      <c r="E207" s="12">
        <f>(Table10[[#This Row],[Unit Price]]-Table10[[#This Row],[Unit Cost]])*Table10[[#This Row],[Units Sold]]</f>
        <v>-67998.87999999999</v>
      </c>
    </row>
    <row r="208" spans="1:5" ht="15" hidden="1" thickBot="1">
      <c r="A208" s="25" t="s">
        <v>22</v>
      </c>
      <c r="B208" s="12">
        <v>93</v>
      </c>
      <c r="C208" s="12">
        <v>200.21</v>
      </c>
      <c r="D208" s="12">
        <v>299.77999999999997</v>
      </c>
      <c r="E208" s="12">
        <f>(Table10[[#This Row],[Unit Price]]-Table10[[#This Row],[Unit Cost]])*Table10[[#This Row],[Units Sold]]</f>
        <v>-9260.0099999999966</v>
      </c>
    </row>
    <row r="209" spans="1:5" ht="15" thickBot="1">
      <c r="A209" s="24" t="s">
        <v>17</v>
      </c>
      <c r="B209" s="21">
        <v>271</v>
      </c>
      <c r="C209" s="21">
        <v>276.95999999999998</v>
      </c>
      <c r="D209" s="21">
        <v>224.01</v>
      </c>
      <c r="E209" s="12">
        <f>(Table10[[#This Row],[Unit Price]]-Table10[[#This Row],[Unit Cost]])*Table10[[#This Row],[Units Sold]]</f>
        <v>14349.449999999997</v>
      </c>
    </row>
    <row r="210" spans="1:5" ht="15" thickBot="1">
      <c r="A210" s="25" t="s">
        <v>17</v>
      </c>
      <c r="B210" s="12">
        <v>156</v>
      </c>
      <c r="C210" s="12">
        <v>374.7</v>
      </c>
      <c r="D210" s="12">
        <v>73.88</v>
      </c>
      <c r="E210" s="12">
        <f>(Table10[[#This Row],[Unit Price]]-Table10[[#This Row],[Unit Cost]])*Table10[[#This Row],[Units Sold]]</f>
        <v>46927.92</v>
      </c>
    </row>
    <row r="211" spans="1:5" ht="15" hidden="1" thickBot="1">
      <c r="A211" s="24" t="s">
        <v>48</v>
      </c>
      <c r="B211" s="21">
        <v>450</v>
      </c>
      <c r="C211" s="21">
        <v>359.17</v>
      </c>
      <c r="D211" s="21">
        <v>23.44</v>
      </c>
      <c r="E211" s="12">
        <f>(Table10[[#This Row],[Unit Price]]-Table10[[#This Row],[Unit Cost]])*Table10[[#This Row],[Units Sold]]</f>
        <v>151078.5</v>
      </c>
    </row>
    <row r="212" spans="1:5" ht="15" hidden="1" thickBot="1">
      <c r="A212" s="25" t="s">
        <v>22</v>
      </c>
      <c r="B212" s="12">
        <v>462</v>
      </c>
      <c r="C212" s="12">
        <v>263.01</v>
      </c>
      <c r="D212" s="12">
        <v>129.38</v>
      </c>
      <c r="E212" s="12">
        <f>(Table10[[#This Row],[Unit Price]]-Table10[[#This Row],[Unit Cost]])*Table10[[#This Row],[Units Sold]]</f>
        <v>61737.06</v>
      </c>
    </row>
    <row r="213" spans="1:5" ht="15" hidden="1" thickBot="1">
      <c r="A213" s="24" t="s">
        <v>11</v>
      </c>
      <c r="B213" s="21">
        <v>396</v>
      </c>
      <c r="C213" s="21">
        <v>412.08</v>
      </c>
      <c r="D213" s="21">
        <v>301.77</v>
      </c>
      <c r="E213" s="12">
        <f>(Table10[[#This Row],[Unit Price]]-Table10[[#This Row],[Unit Cost]])*Table10[[#This Row],[Units Sold]]</f>
        <v>43682.76</v>
      </c>
    </row>
    <row r="214" spans="1:5" ht="15" hidden="1" thickBot="1">
      <c r="A214" s="25" t="s">
        <v>11</v>
      </c>
      <c r="B214" s="12">
        <v>266</v>
      </c>
      <c r="C214" s="12">
        <v>218.28</v>
      </c>
      <c r="D214" s="12">
        <v>109.19</v>
      </c>
      <c r="E214" s="12">
        <f>(Table10[[#This Row],[Unit Price]]-Table10[[#This Row],[Unit Cost]])*Table10[[#This Row],[Units Sold]]</f>
        <v>29017.940000000002</v>
      </c>
    </row>
    <row r="215" spans="1:5" ht="15" hidden="1" thickBot="1">
      <c r="A215" s="24" t="s">
        <v>22</v>
      </c>
      <c r="B215" s="21">
        <v>67</v>
      </c>
      <c r="C215" s="21">
        <v>448.87</v>
      </c>
      <c r="D215" s="21">
        <v>216.74</v>
      </c>
      <c r="E215" s="12">
        <f>(Table10[[#This Row],[Unit Price]]-Table10[[#This Row],[Unit Cost]])*Table10[[#This Row],[Units Sold]]</f>
        <v>15552.71</v>
      </c>
    </row>
    <row r="216" spans="1:5" ht="15" hidden="1" thickBot="1">
      <c r="A216" s="25" t="s">
        <v>11</v>
      </c>
      <c r="B216" s="12">
        <v>389</v>
      </c>
      <c r="C216" s="12">
        <v>40.28</v>
      </c>
      <c r="D216" s="12">
        <v>291.72000000000003</v>
      </c>
      <c r="E216" s="12">
        <f>(Table10[[#This Row],[Unit Price]]-Table10[[#This Row],[Unit Cost]])*Table10[[#This Row],[Units Sold]]</f>
        <v>-97810.16</v>
      </c>
    </row>
    <row r="217" spans="1:5" ht="15" hidden="1" thickBot="1">
      <c r="A217" s="24" t="s">
        <v>11</v>
      </c>
      <c r="B217" s="21">
        <v>431</v>
      </c>
      <c r="C217" s="21">
        <v>477.56</v>
      </c>
      <c r="D217" s="21">
        <v>44.96</v>
      </c>
      <c r="E217" s="12">
        <f>(Table10[[#This Row],[Unit Price]]-Table10[[#This Row],[Unit Cost]])*Table10[[#This Row],[Units Sold]]</f>
        <v>186450.6</v>
      </c>
    </row>
    <row r="218" spans="1:5" ht="15" hidden="1" thickBot="1">
      <c r="A218" s="25" t="s">
        <v>22</v>
      </c>
      <c r="B218" s="12">
        <v>24</v>
      </c>
      <c r="C218" s="12">
        <v>329.07</v>
      </c>
      <c r="D218" s="12">
        <v>274.75</v>
      </c>
      <c r="E218" s="12">
        <f>(Table10[[#This Row],[Unit Price]]-Table10[[#This Row],[Unit Cost]])*Table10[[#This Row],[Units Sold]]</f>
        <v>1303.6799999999998</v>
      </c>
    </row>
    <row r="219" spans="1:5" ht="15" thickBot="1">
      <c r="A219" s="24" t="s">
        <v>17</v>
      </c>
      <c r="B219" s="21">
        <v>171</v>
      </c>
      <c r="C219" s="21">
        <v>193.14</v>
      </c>
      <c r="D219" s="21">
        <v>38.56</v>
      </c>
      <c r="E219" s="12">
        <f>(Table10[[#This Row],[Unit Price]]-Table10[[#This Row],[Unit Cost]])*Table10[[#This Row],[Units Sold]]</f>
        <v>26433.179999999997</v>
      </c>
    </row>
    <row r="220" spans="1:5" ht="15" hidden="1" thickBot="1">
      <c r="A220" s="25" t="s">
        <v>22</v>
      </c>
      <c r="B220" s="12">
        <v>454</v>
      </c>
      <c r="C220" s="12">
        <v>102.59</v>
      </c>
      <c r="D220" s="12">
        <v>386.12</v>
      </c>
      <c r="E220" s="12">
        <f>(Table10[[#This Row],[Unit Price]]-Table10[[#This Row],[Unit Cost]])*Table10[[#This Row],[Units Sold]]</f>
        <v>-128722.61999999998</v>
      </c>
    </row>
    <row r="221" spans="1:5" ht="15" thickBot="1">
      <c r="A221" s="24" t="s">
        <v>17</v>
      </c>
      <c r="B221" s="21">
        <v>172</v>
      </c>
      <c r="C221" s="21">
        <v>242.2</v>
      </c>
      <c r="D221" s="21">
        <v>196.38</v>
      </c>
      <c r="E221" s="12">
        <f>(Table10[[#This Row],[Unit Price]]-Table10[[#This Row],[Unit Cost]])*Table10[[#This Row],[Units Sold]]</f>
        <v>7881.0399999999991</v>
      </c>
    </row>
    <row r="222" spans="1:5" ht="15" hidden="1" thickBot="1">
      <c r="A222" s="25" t="s">
        <v>11</v>
      </c>
      <c r="B222" s="12">
        <v>329</v>
      </c>
      <c r="C222" s="12">
        <v>101.31</v>
      </c>
      <c r="D222" s="12">
        <v>61.97</v>
      </c>
      <c r="E222" s="12">
        <f>(Table10[[#This Row],[Unit Price]]-Table10[[#This Row],[Unit Cost]])*Table10[[#This Row],[Units Sold]]</f>
        <v>12942.86</v>
      </c>
    </row>
    <row r="223" spans="1:5" ht="15" hidden="1" thickBot="1">
      <c r="A223" s="24" t="s">
        <v>11</v>
      </c>
      <c r="B223" s="21">
        <v>290</v>
      </c>
      <c r="C223" s="21">
        <v>87.33</v>
      </c>
      <c r="D223" s="21">
        <v>138.27000000000001</v>
      </c>
      <c r="E223" s="12">
        <f>(Table10[[#This Row],[Unit Price]]-Table10[[#This Row],[Unit Cost]])*Table10[[#This Row],[Units Sold]]</f>
        <v>-14772.600000000004</v>
      </c>
    </row>
    <row r="224" spans="1:5" ht="15" hidden="1" thickBot="1">
      <c r="A224" s="25"/>
      <c r="B224" s="12">
        <v>289</v>
      </c>
      <c r="C224" s="12">
        <v>310.58999999999997</v>
      </c>
      <c r="D224" s="12">
        <v>166.54</v>
      </c>
      <c r="E224" s="12">
        <f>(Table10[[#This Row],[Unit Price]]-Table10[[#This Row],[Unit Cost]])*Table10[[#This Row],[Units Sold]]</f>
        <v>41630.449999999997</v>
      </c>
    </row>
    <row r="225" spans="1:5" ht="15" hidden="1" thickBot="1">
      <c r="A225" s="24" t="s">
        <v>48</v>
      </c>
      <c r="B225" s="21">
        <v>21</v>
      </c>
      <c r="C225" s="21">
        <v>263.93</v>
      </c>
      <c r="D225" s="21">
        <v>303.76</v>
      </c>
      <c r="E225" s="12">
        <f>(Table10[[#This Row],[Unit Price]]-Table10[[#This Row],[Unit Cost]])*Table10[[#This Row],[Units Sold]]</f>
        <v>-836.42999999999961</v>
      </c>
    </row>
    <row r="226" spans="1:5" ht="15" thickBot="1">
      <c r="A226" s="25" t="s">
        <v>17</v>
      </c>
      <c r="B226" s="12">
        <v>283</v>
      </c>
      <c r="C226" s="12">
        <v>336.7</v>
      </c>
      <c r="D226" s="12">
        <v>297.88</v>
      </c>
      <c r="E226" s="12">
        <f>(Table10[[#This Row],[Unit Price]]-Table10[[#This Row],[Unit Cost]])*Table10[[#This Row],[Units Sold]]</f>
        <v>10986.059999999998</v>
      </c>
    </row>
    <row r="227" spans="1:5" ht="15" hidden="1" thickBot="1">
      <c r="A227" s="24" t="s">
        <v>48</v>
      </c>
      <c r="B227" s="21">
        <v>280</v>
      </c>
      <c r="C227" s="21">
        <v>465.15</v>
      </c>
      <c r="D227" s="21">
        <v>245.55</v>
      </c>
      <c r="E227" s="12">
        <f>(Table10[[#This Row],[Unit Price]]-Table10[[#This Row],[Unit Cost]])*Table10[[#This Row],[Units Sold]]</f>
        <v>61487.999999999993</v>
      </c>
    </row>
    <row r="228" spans="1:5" ht="15" hidden="1" thickBot="1">
      <c r="A228" s="25" t="s">
        <v>48</v>
      </c>
      <c r="B228" s="12">
        <v>217</v>
      </c>
      <c r="C228" s="12">
        <v>268.47000000000003</v>
      </c>
      <c r="D228" s="12">
        <v>44.16</v>
      </c>
      <c r="E228" s="12">
        <f>(Table10[[#This Row],[Unit Price]]-Table10[[#This Row],[Unit Cost]])*Table10[[#This Row],[Units Sold]]</f>
        <v>48675.270000000004</v>
      </c>
    </row>
    <row r="229" spans="1:5" ht="15" hidden="1" thickBot="1">
      <c r="A229" s="24" t="s">
        <v>22</v>
      </c>
      <c r="B229" s="21">
        <v>36</v>
      </c>
      <c r="C229" s="21">
        <v>292.56</v>
      </c>
      <c r="D229" s="21">
        <v>62.32</v>
      </c>
      <c r="E229" s="12">
        <f>(Table10[[#This Row],[Unit Price]]-Table10[[#This Row],[Unit Cost]])*Table10[[#This Row],[Units Sold]]</f>
        <v>8288.64</v>
      </c>
    </row>
    <row r="230" spans="1:5" ht="15" hidden="1" thickBot="1">
      <c r="A230" s="25" t="s">
        <v>48</v>
      </c>
      <c r="B230" s="12"/>
      <c r="C230" s="12">
        <v>49.37</v>
      </c>
      <c r="D230" s="12">
        <v>39.32</v>
      </c>
      <c r="E230" s="12">
        <f>(Table10[[#This Row],[Unit Price]]-Table10[[#This Row],[Unit Cost]])*Table10[[#This Row],[Units Sold]]</f>
        <v>0</v>
      </c>
    </row>
    <row r="231" spans="1:5" ht="15" hidden="1" thickBot="1">
      <c r="A231" s="24" t="s">
        <v>22</v>
      </c>
      <c r="B231" s="21">
        <v>69</v>
      </c>
      <c r="C231" s="21">
        <v>360.23</v>
      </c>
      <c r="D231" s="21">
        <v>231.71</v>
      </c>
      <c r="E231" s="12">
        <f>(Table10[[#This Row],[Unit Price]]-Table10[[#This Row],[Unit Cost]])*Table10[[#This Row],[Units Sold]]</f>
        <v>8867.880000000001</v>
      </c>
    </row>
    <row r="232" spans="1:5" ht="15" hidden="1" thickBot="1">
      <c r="A232" s="25" t="s">
        <v>22</v>
      </c>
      <c r="B232" s="12">
        <v>439</v>
      </c>
      <c r="C232" s="12">
        <v>202.95</v>
      </c>
      <c r="D232" s="12">
        <v>351.1</v>
      </c>
      <c r="E232" s="12">
        <f>(Table10[[#This Row],[Unit Price]]-Table10[[#This Row],[Unit Cost]])*Table10[[#This Row],[Units Sold]]</f>
        <v>-65037.850000000013</v>
      </c>
    </row>
    <row r="233" spans="1:5" ht="15" hidden="1" thickBot="1">
      <c r="A233" s="24" t="s">
        <v>48</v>
      </c>
      <c r="B233" s="21">
        <v>482</v>
      </c>
      <c r="C233" s="21">
        <v>488.48</v>
      </c>
      <c r="D233" s="21">
        <v>174.65</v>
      </c>
      <c r="E233" s="12">
        <f>(Table10[[#This Row],[Unit Price]]-Table10[[#This Row],[Unit Cost]])*Table10[[#This Row],[Units Sold]]</f>
        <v>151266.06000000003</v>
      </c>
    </row>
    <row r="234" spans="1:5" ht="15" thickBot="1">
      <c r="A234" s="25" t="s">
        <v>17</v>
      </c>
      <c r="B234" s="12">
        <v>154</v>
      </c>
      <c r="C234" s="12">
        <v>412.47</v>
      </c>
      <c r="D234" s="12">
        <v>66.02</v>
      </c>
      <c r="E234" s="12">
        <f>(Table10[[#This Row],[Unit Price]]-Table10[[#This Row],[Unit Cost]])*Table10[[#This Row],[Units Sold]]</f>
        <v>53353.30000000001</v>
      </c>
    </row>
    <row r="235" spans="1:5" ht="15" thickBot="1">
      <c r="A235" s="24" t="s">
        <v>17</v>
      </c>
      <c r="B235" s="21">
        <v>102</v>
      </c>
      <c r="C235" s="21">
        <v>263.63</v>
      </c>
      <c r="D235" s="21">
        <v>224.1</v>
      </c>
      <c r="E235" s="12">
        <f>(Table10[[#This Row],[Unit Price]]-Table10[[#This Row],[Unit Cost]])*Table10[[#This Row],[Units Sold]]</f>
        <v>4032.06</v>
      </c>
    </row>
    <row r="236" spans="1:5" ht="15" thickBot="1">
      <c r="A236" s="25" t="s">
        <v>17</v>
      </c>
      <c r="B236" s="12">
        <v>318</v>
      </c>
      <c r="C236" s="12">
        <v>66</v>
      </c>
      <c r="D236" s="12">
        <v>325.08</v>
      </c>
      <c r="E236" s="12">
        <f>(Table10[[#This Row],[Unit Price]]-Table10[[#This Row],[Unit Cost]])*Table10[[#This Row],[Units Sold]]</f>
        <v>-82387.439999999988</v>
      </c>
    </row>
    <row r="237" spans="1:5" ht="15" thickBot="1">
      <c r="A237" s="24" t="s">
        <v>17</v>
      </c>
      <c r="B237" s="21">
        <v>17</v>
      </c>
      <c r="C237" s="21">
        <v>430.41</v>
      </c>
      <c r="D237" s="21">
        <v>297.2</v>
      </c>
      <c r="E237" s="12">
        <f>(Table10[[#This Row],[Unit Price]]-Table10[[#This Row],[Unit Cost]])*Table10[[#This Row],[Units Sold]]</f>
        <v>2264.5700000000006</v>
      </c>
    </row>
    <row r="238" spans="1:5" ht="15" thickBot="1">
      <c r="A238" s="25" t="s">
        <v>17</v>
      </c>
      <c r="B238" s="12">
        <v>88</v>
      </c>
      <c r="C238" s="12">
        <v>400.89</v>
      </c>
      <c r="D238" s="12">
        <v>352.82</v>
      </c>
      <c r="E238" s="12">
        <f>(Table10[[#This Row],[Unit Price]]-Table10[[#This Row],[Unit Cost]])*Table10[[#This Row],[Units Sold]]</f>
        <v>4230.16</v>
      </c>
    </row>
    <row r="239" spans="1:5" ht="15" hidden="1" thickBot="1">
      <c r="A239" s="24" t="s">
        <v>48</v>
      </c>
      <c r="B239" s="21">
        <v>36</v>
      </c>
      <c r="C239" s="21">
        <v>96.37</v>
      </c>
      <c r="D239" s="21">
        <v>112.61</v>
      </c>
      <c r="E239" s="12">
        <f>(Table10[[#This Row],[Unit Price]]-Table10[[#This Row],[Unit Cost]])*Table10[[#This Row],[Units Sold]]</f>
        <v>-584.63999999999987</v>
      </c>
    </row>
    <row r="240" spans="1:5" ht="15" hidden="1" thickBot="1">
      <c r="A240" s="25" t="s">
        <v>48</v>
      </c>
      <c r="B240" s="12">
        <v>183</v>
      </c>
      <c r="C240" s="12">
        <v>151.16</v>
      </c>
      <c r="D240" s="12">
        <v>79.19</v>
      </c>
      <c r="E240" s="12">
        <f>(Table10[[#This Row],[Unit Price]]-Table10[[#This Row],[Unit Cost]])*Table10[[#This Row],[Units Sold]]</f>
        <v>13170.51</v>
      </c>
    </row>
    <row r="241" spans="1:5" ht="15" hidden="1" thickBot="1">
      <c r="A241" s="24" t="s">
        <v>11</v>
      </c>
      <c r="B241" s="21">
        <v>59</v>
      </c>
      <c r="C241" s="21">
        <v>397.74</v>
      </c>
      <c r="D241" s="21">
        <v>352.17</v>
      </c>
      <c r="E241" s="12">
        <f>(Table10[[#This Row],[Unit Price]]-Table10[[#This Row],[Unit Cost]])*Table10[[#This Row],[Units Sold]]</f>
        <v>2688.6299999999997</v>
      </c>
    </row>
    <row r="242" spans="1:5" ht="15" thickBot="1">
      <c r="A242" s="25" t="s">
        <v>17</v>
      </c>
      <c r="B242" s="12">
        <v>208</v>
      </c>
      <c r="C242" s="12">
        <v>96.69</v>
      </c>
      <c r="D242" s="12">
        <v>263.70999999999998</v>
      </c>
      <c r="E242" s="12">
        <f>(Table10[[#This Row],[Unit Price]]-Table10[[#This Row],[Unit Cost]])*Table10[[#This Row],[Units Sold]]</f>
        <v>-34740.159999999996</v>
      </c>
    </row>
    <row r="243" spans="1:5" ht="15" hidden="1" thickBot="1">
      <c r="A243" s="24" t="s">
        <v>48</v>
      </c>
      <c r="B243" s="21">
        <v>396</v>
      </c>
      <c r="C243" s="21">
        <v>459.29</v>
      </c>
      <c r="D243" s="21">
        <v>125.75</v>
      </c>
      <c r="E243" s="12">
        <f>(Table10[[#This Row],[Unit Price]]-Table10[[#This Row],[Unit Cost]])*Table10[[#This Row],[Units Sold]]</f>
        <v>132081.84</v>
      </c>
    </row>
    <row r="244" spans="1:5" ht="15" hidden="1" thickBot="1">
      <c r="A244" s="25" t="s">
        <v>11</v>
      </c>
      <c r="B244" s="12">
        <v>358</v>
      </c>
      <c r="C244" s="12">
        <v>215.14</v>
      </c>
      <c r="D244" s="12">
        <v>297.45</v>
      </c>
      <c r="E244" s="12">
        <f>(Table10[[#This Row],[Unit Price]]-Table10[[#This Row],[Unit Cost]])*Table10[[#This Row],[Units Sold]]</f>
        <v>-29466.98</v>
      </c>
    </row>
    <row r="245" spans="1:5" ht="15" thickBot="1">
      <c r="A245" s="24" t="s">
        <v>17</v>
      </c>
      <c r="B245" s="21">
        <v>457</v>
      </c>
      <c r="C245" s="21">
        <v>48.08</v>
      </c>
      <c r="D245" s="21">
        <v>326.42</v>
      </c>
      <c r="E245" s="12">
        <f>(Table10[[#This Row],[Unit Price]]-Table10[[#This Row],[Unit Cost]])*Table10[[#This Row],[Units Sold]]</f>
        <v>-127201.38000000002</v>
      </c>
    </row>
    <row r="246" spans="1:5" ht="15" hidden="1" thickBot="1">
      <c r="A246" s="25" t="s">
        <v>22</v>
      </c>
      <c r="B246" s="12">
        <v>437</v>
      </c>
      <c r="C246" s="12">
        <v>408.8</v>
      </c>
      <c r="D246" s="12">
        <v>246.76</v>
      </c>
      <c r="E246" s="12">
        <f>(Table10[[#This Row],[Unit Price]]-Table10[[#This Row],[Unit Cost]])*Table10[[#This Row],[Units Sold]]</f>
        <v>70811.48000000001</v>
      </c>
    </row>
    <row r="247" spans="1:5" ht="15" hidden="1" thickBot="1">
      <c r="A247" s="24" t="s">
        <v>11</v>
      </c>
      <c r="B247" s="21">
        <v>190</v>
      </c>
      <c r="C247" s="21">
        <v>189.89</v>
      </c>
      <c r="D247" s="21">
        <v>275.77999999999997</v>
      </c>
      <c r="E247" s="12">
        <f>(Table10[[#This Row],[Unit Price]]-Table10[[#This Row],[Unit Cost]])*Table10[[#This Row],[Units Sold]]</f>
        <v>-16319.099999999997</v>
      </c>
    </row>
    <row r="248" spans="1:5" ht="15" hidden="1" thickBot="1">
      <c r="A248" s="25" t="s">
        <v>48</v>
      </c>
      <c r="B248" s="12">
        <v>33</v>
      </c>
      <c r="C248" s="12">
        <v>265.62</v>
      </c>
      <c r="D248" s="12">
        <v>151.35</v>
      </c>
      <c r="E248" s="12">
        <f>(Table10[[#This Row],[Unit Price]]-Table10[[#This Row],[Unit Cost]])*Table10[[#This Row],[Units Sold]]</f>
        <v>3770.9100000000003</v>
      </c>
    </row>
    <row r="249" spans="1:5" ht="15" hidden="1" thickBot="1">
      <c r="A249" s="24" t="s">
        <v>22</v>
      </c>
      <c r="B249" s="21">
        <v>325</v>
      </c>
      <c r="C249" s="21">
        <v>60.59</v>
      </c>
      <c r="D249" s="21">
        <v>216.4</v>
      </c>
      <c r="E249" s="12">
        <f>(Table10[[#This Row],[Unit Price]]-Table10[[#This Row],[Unit Cost]])*Table10[[#This Row],[Units Sold]]</f>
        <v>-50638.25</v>
      </c>
    </row>
    <row r="250" spans="1:5" ht="15" hidden="1" thickBot="1">
      <c r="A250" s="25" t="s">
        <v>22</v>
      </c>
      <c r="B250" s="12">
        <v>387</v>
      </c>
      <c r="C250" s="12">
        <v>6.28</v>
      </c>
      <c r="D250" s="12">
        <v>210.62</v>
      </c>
      <c r="E250" s="12">
        <f>(Table10[[#This Row],[Unit Price]]-Table10[[#This Row],[Unit Cost]])*Table10[[#This Row],[Units Sold]]</f>
        <v>-79079.58</v>
      </c>
    </row>
    <row r="251" spans="1:5" ht="15" hidden="1" thickBot="1">
      <c r="A251" s="24" t="s">
        <v>22</v>
      </c>
      <c r="B251" s="21">
        <v>396</v>
      </c>
      <c r="C251" s="21">
        <v>320.8</v>
      </c>
      <c r="D251" s="21">
        <v>339.52</v>
      </c>
      <c r="E251" s="12">
        <f>(Table10[[#This Row],[Unit Price]]-Table10[[#This Row],[Unit Cost]])*Table10[[#This Row],[Units Sold]]</f>
        <v>-7413.1199999999881</v>
      </c>
    </row>
    <row r="252" spans="1:5" ht="15" hidden="1" thickBot="1">
      <c r="A252" s="25" t="s">
        <v>11</v>
      </c>
      <c r="B252" s="12">
        <v>413</v>
      </c>
      <c r="C252" s="12">
        <v>260.01</v>
      </c>
      <c r="D252" s="12">
        <v>336.31</v>
      </c>
      <c r="E252" s="12">
        <f>(Table10[[#This Row],[Unit Price]]-Table10[[#This Row],[Unit Cost]])*Table10[[#This Row],[Units Sold]]</f>
        <v>-31511.900000000005</v>
      </c>
    </row>
    <row r="253" spans="1:5" ht="15" hidden="1" thickBot="1">
      <c r="A253" s="24" t="s">
        <v>48</v>
      </c>
      <c r="B253" s="21"/>
      <c r="C253" s="21">
        <v>298.8</v>
      </c>
      <c r="D253" s="21">
        <v>333.41</v>
      </c>
      <c r="E253" s="12">
        <f>(Table10[[#This Row],[Unit Price]]-Table10[[#This Row],[Unit Cost]])*Table10[[#This Row],[Units Sold]]</f>
        <v>0</v>
      </c>
    </row>
    <row r="254" spans="1:5" ht="15" hidden="1" thickBot="1">
      <c r="A254" s="25" t="s">
        <v>22</v>
      </c>
      <c r="B254" s="12">
        <v>24</v>
      </c>
      <c r="C254" s="12">
        <v>397.9</v>
      </c>
      <c r="D254" s="12">
        <v>6.39</v>
      </c>
      <c r="E254" s="12">
        <f>(Table10[[#This Row],[Unit Price]]-Table10[[#This Row],[Unit Cost]])*Table10[[#This Row],[Units Sold]]</f>
        <v>9396.24</v>
      </c>
    </row>
    <row r="255" spans="1:5" ht="15" thickBot="1">
      <c r="A255" s="24" t="s">
        <v>17</v>
      </c>
      <c r="B255" s="21">
        <v>162</v>
      </c>
      <c r="C255" s="21">
        <v>325.07</v>
      </c>
      <c r="D255" s="21">
        <v>300.32</v>
      </c>
      <c r="E255" s="12">
        <f>(Table10[[#This Row],[Unit Price]]-Table10[[#This Row],[Unit Cost]])*Table10[[#This Row],[Units Sold]]</f>
        <v>4009.5</v>
      </c>
    </row>
    <row r="256" spans="1:5" ht="15" hidden="1" thickBot="1">
      <c r="A256" s="25" t="s">
        <v>22</v>
      </c>
      <c r="B256" s="12">
        <v>231</v>
      </c>
      <c r="C256" s="12">
        <v>91.51</v>
      </c>
      <c r="D256" s="12">
        <v>303.95</v>
      </c>
      <c r="E256" s="12">
        <f>(Table10[[#This Row],[Unit Price]]-Table10[[#This Row],[Unit Cost]])*Table10[[#This Row],[Units Sold]]</f>
        <v>-49073.64</v>
      </c>
    </row>
    <row r="257" spans="1:5" ht="15" hidden="1" thickBot="1">
      <c r="A257" s="24" t="s">
        <v>22</v>
      </c>
      <c r="B257" s="21">
        <v>215</v>
      </c>
      <c r="C257" s="21">
        <v>183.58</v>
      </c>
      <c r="D257" s="21">
        <v>271.99</v>
      </c>
      <c r="E257" s="12">
        <f>(Table10[[#This Row],[Unit Price]]-Table10[[#This Row],[Unit Cost]])*Table10[[#This Row],[Units Sold]]</f>
        <v>-19008.149999999998</v>
      </c>
    </row>
    <row r="258" spans="1:5" ht="15" hidden="1" thickBot="1">
      <c r="A258" s="25" t="s">
        <v>11</v>
      </c>
      <c r="B258" s="12">
        <v>464</v>
      </c>
      <c r="C258" s="12">
        <v>453.42</v>
      </c>
      <c r="D258" s="12">
        <v>302.99</v>
      </c>
      <c r="E258" s="12">
        <f>(Table10[[#This Row],[Unit Price]]-Table10[[#This Row],[Unit Cost]])*Table10[[#This Row],[Units Sold]]</f>
        <v>69799.520000000004</v>
      </c>
    </row>
    <row r="259" spans="1:5" ht="15" hidden="1" thickBot="1">
      <c r="A259" s="24" t="s">
        <v>11</v>
      </c>
      <c r="B259" s="21">
        <v>282</v>
      </c>
      <c r="C259" s="21"/>
      <c r="D259" s="21">
        <v>337.1</v>
      </c>
      <c r="E259" s="12">
        <f>(Table10[[#This Row],[Unit Price]]-Table10[[#This Row],[Unit Cost]])*Table10[[#This Row],[Units Sold]]</f>
        <v>-95062.200000000012</v>
      </c>
    </row>
    <row r="260" spans="1:5" ht="15" hidden="1" thickBot="1">
      <c r="A260" s="25" t="s">
        <v>48</v>
      </c>
      <c r="B260" s="12">
        <v>391</v>
      </c>
      <c r="C260" s="12">
        <v>280.54000000000002</v>
      </c>
      <c r="D260" s="12">
        <v>189.19</v>
      </c>
      <c r="E260" s="12">
        <f>(Table10[[#This Row],[Unit Price]]-Table10[[#This Row],[Unit Cost]])*Table10[[#This Row],[Units Sold]]</f>
        <v>35717.850000000006</v>
      </c>
    </row>
    <row r="261" spans="1:5" ht="15" thickBot="1">
      <c r="A261" s="24" t="s">
        <v>17</v>
      </c>
      <c r="B261" s="21">
        <v>245</v>
      </c>
      <c r="C261" s="21">
        <v>131.54</v>
      </c>
      <c r="D261" s="21">
        <v>201.82</v>
      </c>
      <c r="E261" s="12">
        <f>(Table10[[#This Row],[Unit Price]]-Table10[[#This Row],[Unit Cost]])*Table10[[#This Row],[Units Sold]]</f>
        <v>-17218.599999999999</v>
      </c>
    </row>
    <row r="262" spans="1:5" ht="15" hidden="1" thickBot="1">
      <c r="A262" s="25" t="s">
        <v>11</v>
      </c>
      <c r="B262" s="12">
        <v>349</v>
      </c>
      <c r="C262" s="12">
        <v>154.52000000000001</v>
      </c>
      <c r="D262" s="12">
        <v>51.64</v>
      </c>
      <c r="E262" s="12">
        <f>(Table10[[#This Row],[Unit Price]]-Table10[[#This Row],[Unit Cost]])*Table10[[#This Row],[Units Sold]]</f>
        <v>35905.120000000003</v>
      </c>
    </row>
    <row r="263" spans="1:5" ht="15" hidden="1" thickBot="1">
      <c r="A263" s="24" t="s">
        <v>22</v>
      </c>
      <c r="B263" s="21">
        <v>237</v>
      </c>
      <c r="C263" s="21"/>
      <c r="D263" s="21">
        <v>155.38</v>
      </c>
      <c r="E263" s="12">
        <f>(Table10[[#This Row],[Unit Price]]-Table10[[#This Row],[Unit Cost]])*Table10[[#This Row],[Units Sold]]</f>
        <v>-36825.06</v>
      </c>
    </row>
    <row r="264" spans="1:5" ht="15" hidden="1" thickBot="1">
      <c r="A264" s="25" t="s">
        <v>48</v>
      </c>
      <c r="B264" s="12">
        <v>18</v>
      </c>
      <c r="C264" s="12">
        <v>426.33</v>
      </c>
      <c r="D264" s="12">
        <v>258.06</v>
      </c>
      <c r="E264" s="12">
        <f>(Table10[[#This Row],[Unit Price]]-Table10[[#This Row],[Unit Cost]])*Table10[[#This Row],[Units Sold]]</f>
        <v>3028.8599999999997</v>
      </c>
    </row>
    <row r="265" spans="1:5" ht="15" hidden="1" thickBot="1">
      <c r="A265" s="24" t="s">
        <v>22</v>
      </c>
      <c r="B265" s="21">
        <v>175</v>
      </c>
      <c r="C265" s="21">
        <v>337.36</v>
      </c>
      <c r="D265" s="21">
        <v>312.60000000000002</v>
      </c>
      <c r="E265" s="12">
        <f>(Table10[[#This Row],[Unit Price]]-Table10[[#This Row],[Unit Cost]])*Table10[[#This Row],[Units Sold]]</f>
        <v>4332.9999999999982</v>
      </c>
    </row>
    <row r="266" spans="1:5" ht="15" hidden="1" thickBot="1">
      <c r="A266" s="25" t="s">
        <v>22</v>
      </c>
      <c r="B266" s="12">
        <v>441</v>
      </c>
      <c r="C266" s="12">
        <v>405.72</v>
      </c>
      <c r="D266" s="12">
        <v>88.45</v>
      </c>
      <c r="E266" s="12">
        <f>(Table10[[#This Row],[Unit Price]]-Table10[[#This Row],[Unit Cost]])*Table10[[#This Row],[Units Sold]]</f>
        <v>139916.07</v>
      </c>
    </row>
    <row r="267" spans="1:5" ht="15" hidden="1" thickBot="1">
      <c r="A267" s="24" t="s">
        <v>11</v>
      </c>
      <c r="B267" s="21">
        <v>453</v>
      </c>
      <c r="C267" s="21">
        <v>384.49</v>
      </c>
      <c r="D267" s="21">
        <v>56.85</v>
      </c>
      <c r="E267" s="12">
        <f>(Table10[[#This Row],[Unit Price]]-Table10[[#This Row],[Unit Cost]])*Table10[[#This Row],[Units Sold]]</f>
        <v>148420.91999999998</v>
      </c>
    </row>
    <row r="268" spans="1:5" ht="15" hidden="1" thickBot="1">
      <c r="A268" s="25" t="s">
        <v>48</v>
      </c>
      <c r="B268" s="12">
        <v>328</v>
      </c>
      <c r="C268" s="12">
        <v>79.099999999999994</v>
      </c>
      <c r="D268" s="12">
        <v>265.89</v>
      </c>
      <c r="E268" s="12">
        <f>(Table10[[#This Row],[Unit Price]]-Table10[[#This Row],[Unit Cost]])*Table10[[#This Row],[Units Sold]]</f>
        <v>-61267.119999999995</v>
      </c>
    </row>
    <row r="269" spans="1:5" ht="15" thickBot="1">
      <c r="A269" s="24" t="s">
        <v>17</v>
      </c>
      <c r="B269" s="21">
        <v>223</v>
      </c>
      <c r="C269" s="21">
        <v>214.85</v>
      </c>
      <c r="D269" s="21">
        <v>2.75</v>
      </c>
      <c r="E269" s="12">
        <f>(Table10[[#This Row],[Unit Price]]-Table10[[#This Row],[Unit Cost]])*Table10[[#This Row],[Units Sold]]</f>
        <v>47298.299999999996</v>
      </c>
    </row>
    <row r="270" spans="1:5" ht="15" thickBot="1">
      <c r="A270" s="25" t="s">
        <v>17</v>
      </c>
      <c r="B270" s="12">
        <v>126</v>
      </c>
      <c r="C270" s="12">
        <v>80.73</v>
      </c>
      <c r="D270" s="12">
        <v>72.989999999999995</v>
      </c>
      <c r="E270" s="12">
        <f>(Table10[[#This Row],[Unit Price]]-Table10[[#This Row],[Unit Cost]])*Table10[[#This Row],[Units Sold]]</f>
        <v>975.24000000000115</v>
      </c>
    </row>
    <row r="271" spans="1:5" ht="15" hidden="1" thickBot="1">
      <c r="A271" s="24" t="s">
        <v>11</v>
      </c>
      <c r="B271" s="21">
        <v>395</v>
      </c>
      <c r="C271" s="21">
        <v>121.44</v>
      </c>
      <c r="D271" s="21">
        <v>13.57</v>
      </c>
      <c r="E271" s="12">
        <f>(Table10[[#This Row],[Unit Price]]-Table10[[#This Row],[Unit Cost]])*Table10[[#This Row],[Units Sold]]</f>
        <v>42608.65</v>
      </c>
    </row>
    <row r="272" spans="1:5" ht="15" hidden="1" thickBot="1">
      <c r="A272" s="25" t="s">
        <v>11</v>
      </c>
      <c r="B272" s="12">
        <v>353</v>
      </c>
      <c r="C272" s="12">
        <v>435.28</v>
      </c>
      <c r="D272" s="12">
        <v>68.42</v>
      </c>
      <c r="E272" s="12">
        <f>(Table10[[#This Row],[Unit Price]]-Table10[[#This Row],[Unit Cost]])*Table10[[#This Row],[Units Sold]]</f>
        <v>129501.57999999999</v>
      </c>
    </row>
    <row r="273" spans="1:5" ht="15" hidden="1" thickBot="1">
      <c r="A273" s="24" t="s">
        <v>48</v>
      </c>
      <c r="B273" s="21">
        <v>81</v>
      </c>
      <c r="C273" s="21">
        <v>239.08</v>
      </c>
      <c r="D273" s="21">
        <v>74.17</v>
      </c>
      <c r="E273" s="12">
        <f>(Table10[[#This Row],[Unit Price]]-Table10[[#This Row],[Unit Cost]])*Table10[[#This Row],[Units Sold]]</f>
        <v>13357.710000000003</v>
      </c>
    </row>
    <row r="274" spans="1:5" ht="15" thickBot="1">
      <c r="A274" s="25" t="s">
        <v>17</v>
      </c>
      <c r="B274" s="12">
        <v>404</v>
      </c>
      <c r="C274" s="12">
        <v>270</v>
      </c>
      <c r="D274" s="12">
        <v>156.29</v>
      </c>
      <c r="E274" s="12">
        <f>(Table10[[#This Row],[Unit Price]]-Table10[[#This Row],[Unit Cost]])*Table10[[#This Row],[Units Sold]]</f>
        <v>45938.840000000004</v>
      </c>
    </row>
    <row r="275" spans="1:5" ht="15" thickBot="1">
      <c r="A275" s="24" t="s">
        <v>17</v>
      </c>
      <c r="B275" s="21">
        <v>73</v>
      </c>
      <c r="C275" s="21">
        <v>93.33</v>
      </c>
      <c r="D275" s="21">
        <v>162.13</v>
      </c>
      <c r="E275" s="12">
        <f>(Table10[[#This Row],[Unit Price]]-Table10[[#This Row],[Unit Cost]])*Table10[[#This Row],[Units Sold]]</f>
        <v>-5022.3999999999996</v>
      </c>
    </row>
    <row r="276" spans="1:5" ht="15" thickBot="1">
      <c r="A276" s="25" t="s">
        <v>17</v>
      </c>
      <c r="B276" s="12">
        <v>214</v>
      </c>
      <c r="C276" s="12">
        <v>159.57</v>
      </c>
      <c r="D276" s="12">
        <v>349.96</v>
      </c>
      <c r="E276" s="12">
        <f>(Table10[[#This Row],[Unit Price]]-Table10[[#This Row],[Unit Cost]])*Table10[[#This Row],[Units Sold]]</f>
        <v>-40743.46</v>
      </c>
    </row>
    <row r="277" spans="1:5" ht="15" hidden="1" thickBot="1">
      <c r="A277" s="24" t="s">
        <v>22</v>
      </c>
      <c r="B277" s="21">
        <v>218</v>
      </c>
      <c r="C277" s="21">
        <v>118.97</v>
      </c>
      <c r="D277" s="21">
        <v>205.02</v>
      </c>
      <c r="E277" s="12">
        <f>(Table10[[#This Row],[Unit Price]]-Table10[[#This Row],[Unit Cost]])*Table10[[#This Row],[Units Sold]]</f>
        <v>-18758.900000000001</v>
      </c>
    </row>
    <row r="278" spans="1:5" ht="15" thickBot="1">
      <c r="A278" s="25" t="s">
        <v>17</v>
      </c>
      <c r="B278" s="12">
        <v>81</v>
      </c>
      <c r="C278" s="12">
        <v>107.06</v>
      </c>
      <c r="D278" s="12">
        <v>289.92</v>
      </c>
      <c r="E278" s="12">
        <f>(Table10[[#This Row],[Unit Price]]-Table10[[#This Row],[Unit Cost]])*Table10[[#This Row],[Units Sold]]</f>
        <v>-14811.660000000002</v>
      </c>
    </row>
    <row r="279" spans="1:5" ht="15" hidden="1" thickBot="1">
      <c r="A279" s="24" t="s">
        <v>22</v>
      </c>
      <c r="B279" s="21">
        <v>286</v>
      </c>
      <c r="C279" s="21">
        <v>320.79000000000002</v>
      </c>
      <c r="D279" s="21">
        <v>43.45</v>
      </c>
      <c r="E279" s="12">
        <f>(Table10[[#This Row],[Unit Price]]-Table10[[#This Row],[Unit Cost]])*Table10[[#This Row],[Units Sold]]</f>
        <v>79319.240000000005</v>
      </c>
    </row>
    <row r="280" spans="1:5" ht="15" hidden="1" thickBot="1">
      <c r="A280" s="25" t="s">
        <v>48</v>
      </c>
      <c r="B280" s="12">
        <v>283</v>
      </c>
      <c r="C280" s="12">
        <v>132.16</v>
      </c>
      <c r="D280" s="12">
        <v>91.72</v>
      </c>
      <c r="E280" s="12">
        <f>(Table10[[#This Row],[Unit Price]]-Table10[[#This Row],[Unit Cost]])*Table10[[#This Row],[Units Sold]]</f>
        <v>11444.519999999999</v>
      </c>
    </row>
    <row r="281" spans="1:5" ht="15" hidden="1" thickBot="1">
      <c r="A281" s="24" t="s">
        <v>22</v>
      </c>
      <c r="B281" s="21">
        <v>487</v>
      </c>
      <c r="C281" s="21">
        <v>317.85000000000002</v>
      </c>
      <c r="D281" s="21">
        <v>281.77</v>
      </c>
      <c r="E281" s="12">
        <f>(Table10[[#This Row],[Unit Price]]-Table10[[#This Row],[Unit Cost]])*Table10[[#This Row],[Units Sold]]</f>
        <v>17570.960000000021</v>
      </c>
    </row>
    <row r="282" spans="1:5" ht="15" hidden="1" thickBot="1">
      <c r="A282" s="25" t="s">
        <v>48</v>
      </c>
      <c r="B282" s="12">
        <v>329</v>
      </c>
      <c r="C282" s="12">
        <v>33.94</v>
      </c>
      <c r="D282" s="12">
        <v>23.02</v>
      </c>
      <c r="E282" s="12">
        <f>(Table10[[#This Row],[Unit Price]]-Table10[[#This Row],[Unit Cost]])*Table10[[#This Row],[Units Sold]]</f>
        <v>3592.6799999999994</v>
      </c>
    </row>
    <row r="283" spans="1:5" ht="15" thickBot="1">
      <c r="A283" s="24" t="s">
        <v>17</v>
      </c>
      <c r="B283" s="21">
        <v>347</v>
      </c>
      <c r="C283" s="21">
        <v>75.180000000000007</v>
      </c>
      <c r="D283" s="21">
        <v>195.67</v>
      </c>
      <c r="E283" s="12">
        <f>(Table10[[#This Row],[Unit Price]]-Table10[[#This Row],[Unit Cost]])*Table10[[#This Row],[Units Sold]]</f>
        <v>-41810.029999999992</v>
      </c>
    </row>
    <row r="284" spans="1:5" ht="15" thickBot="1">
      <c r="A284" s="25" t="s">
        <v>17</v>
      </c>
      <c r="B284" s="12">
        <v>375</v>
      </c>
      <c r="C284" s="12">
        <v>140.9</v>
      </c>
      <c r="D284" s="12">
        <v>240.55</v>
      </c>
      <c r="E284" s="12">
        <f>(Table10[[#This Row],[Unit Price]]-Table10[[#This Row],[Unit Cost]])*Table10[[#This Row],[Units Sold]]</f>
        <v>-37368.75</v>
      </c>
    </row>
    <row r="285" spans="1:5" ht="15" hidden="1" thickBot="1">
      <c r="A285" s="24" t="s">
        <v>48</v>
      </c>
      <c r="B285" s="21">
        <v>104</v>
      </c>
      <c r="C285" s="21">
        <v>300.54000000000002</v>
      </c>
      <c r="D285" s="21">
        <v>241.65</v>
      </c>
      <c r="E285" s="12">
        <f>(Table10[[#This Row],[Unit Price]]-Table10[[#This Row],[Unit Cost]])*Table10[[#This Row],[Units Sold]]</f>
        <v>6124.5600000000013</v>
      </c>
    </row>
    <row r="286" spans="1:5" ht="15" hidden="1" thickBot="1">
      <c r="A286" s="25" t="s">
        <v>11</v>
      </c>
      <c r="B286" s="12">
        <v>175</v>
      </c>
      <c r="C286" s="12">
        <v>339.54</v>
      </c>
      <c r="D286" s="12">
        <v>11.13</v>
      </c>
      <c r="E286" s="12">
        <f>(Table10[[#This Row],[Unit Price]]-Table10[[#This Row],[Unit Cost]])*Table10[[#This Row],[Units Sold]]</f>
        <v>57471.750000000007</v>
      </c>
    </row>
    <row r="287" spans="1:5" ht="15" hidden="1" thickBot="1">
      <c r="A287" s="24" t="s">
        <v>48</v>
      </c>
      <c r="B287" s="21">
        <v>41</v>
      </c>
      <c r="C287" s="21">
        <v>224.14</v>
      </c>
      <c r="D287" s="21">
        <v>130.19999999999999</v>
      </c>
      <c r="E287" s="12">
        <f>(Table10[[#This Row],[Unit Price]]-Table10[[#This Row],[Unit Cost]])*Table10[[#This Row],[Units Sold]]</f>
        <v>3851.54</v>
      </c>
    </row>
    <row r="288" spans="1:5" ht="15" hidden="1" thickBot="1">
      <c r="A288" s="25" t="s">
        <v>11</v>
      </c>
      <c r="B288" s="12">
        <v>20</v>
      </c>
      <c r="C288" s="12">
        <v>225.67</v>
      </c>
      <c r="D288" s="12">
        <v>255.32</v>
      </c>
      <c r="E288" s="12">
        <f>(Table10[[#This Row],[Unit Price]]-Table10[[#This Row],[Unit Cost]])*Table10[[#This Row],[Units Sold]]</f>
        <v>-593.00000000000011</v>
      </c>
    </row>
    <row r="289" spans="1:5" ht="15" hidden="1" thickBot="1">
      <c r="A289" s="24" t="s">
        <v>22</v>
      </c>
      <c r="B289" s="21">
        <v>310</v>
      </c>
      <c r="C289" s="21">
        <v>363.64</v>
      </c>
      <c r="D289" s="21">
        <v>61.3</v>
      </c>
      <c r="E289" s="12">
        <f>(Table10[[#This Row],[Unit Price]]-Table10[[#This Row],[Unit Cost]])*Table10[[#This Row],[Units Sold]]</f>
        <v>93725.4</v>
      </c>
    </row>
    <row r="290" spans="1:5" ht="15" hidden="1" thickBot="1">
      <c r="A290" s="25" t="s">
        <v>22</v>
      </c>
      <c r="B290" s="12">
        <v>226</v>
      </c>
      <c r="C290" s="12"/>
      <c r="D290" s="12">
        <v>278.77999999999997</v>
      </c>
      <c r="E290" s="12">
        <f>(Table10[[#This Row],[Unit Price]]-Table10[[#This Row],[Unit Cost]])*Table10[[#This Row],[Units Sold]]</f>
        <v>-63004.279999999992</v>
      </c>
    </row>
    <row r="291" spans="1:5" ht="15" hidden="1" thickBot="1">
      <c r="A291" s="24" t="s">
        <v>22</v>
      </c>
      <c r="B291" s="21"/>
      <c r="C291" s="21">
        <v>173.84</v>
      </c>
      <c r="D291" s="21">
        <v>298.88</v>
      </c>
      <c r="E291" s="12">
        <f>(Table10[[#This Row],[Unit Price]]-Table10[[#This Row],[Unit Cost]])*Table10[[#This Row],[Units Sold]]</f>
        <v>0</v>
      </c>
    </row>
    <row r="292" spans="1:5" ht="15" thickBot="1">
      <c r="A292" s="25" t="s">
        <v>17</v>
      </c>
      <c r="B292" s="12">
        <v>111</v>
      </c>
      <c r="C292" s="12">
        <v>410.26</v>
      </c>
      <c r="D292" s="12">
        <v>392.82</v>
      </c>
      <c r="E292" s="12">
        <f>(Table10[[#This Row],[Unit Price]]-Table10[[#This Row],[Unit Cost]])*Table10[[#This Row],[Units Sold]]</f>
        <v>1935.8399999999997</v>
      </c>
    </row>
    <row r="293" spans="1:5" ht="15" hidden="1" thickBot="1">
      <c r="A293" s="24" t="s">
        <v>22</v>
      </c>
      <c r="B293" s="21">
        <v>434</v>
      </c>
      <c r="C293" s="21">
        <v>303.58999999999997</v>
      </c>
      <c r="D293" s="21">
        <v>85.52</v>
      </c>
      <c r="E293" s="12">
        <f>(Table10[[#This Row],[Unit Price]]-Table10[[#This Row],[Unit Cost]])*Table10[[#This Row],[Units Sold]]</f>
        <v>94642.37999999999</v>
      </c>
    </row>
    <row r="294" spans="1:5" ht="15" hidden="1" thickBot="1">
      <c r="A294" s="25" t="s">
        <v>11</v>
      </c>
      <c r="B294" s="12">
        <v>401</v>
      </c>
      <c r="C294" s="12">
        <v>171.93</v>
      </c>
      <c r="D294" s="12">
        <v>330.4</v>
      </c>
      <c r="E294" s="12">
        <f>(Table10[[#This Row],[Unit Price]]-Table10[[#This Row],[Unit Cost]])*Table10[[#This Row],[Units Sold]]</f>
        <v>-63546.469999999987</v>
      </c>
    </row>
    <row r="295" spans="1:5" ht="15" hidden="1" thickBot="1">
      <c r="A295" s="24" t="s">
        <v>22</v>
      </c>
      <c r="B295" s="21">
        <v>276</v>
      </c>
      <c r="C295" s="21">
        <v>453.23</v>
      </c>
      <c r="D295" s="21">
        <v>209.08</v>
      </c>
      <c r="E295" s="12">
        <f>(Table10[[#This Row],[Unit Price]]-Table10[[#This Row],[Unit Cost]])*Table10[[#This Row],[Units Sold]]</f>
        <v>67385.400000000009</v>
      </c>
    </row>
    <row r="296" spans="1:5" ht="15" hidden="1" thickBot="1">
      <c r="A296" s="25" t="s">
        <v>48</v>
      </c>
      <c r="B296" s="12"/>
      <c r="C296" s="12">
        <v>387.45</v>
      </c>
      <c r="D296" s="12">
        <v>150.63999999999999</v>
      </c>
      <c r="E296" s="12">
        <f>(Table10[[#This Row],[Unit Price]]-Table10[[#This Row],[Unit Cost]])*Table10[[#This Row],[Units Sold]]</f>
        <v>0</v>
      </c>
    </row>
    <row r="297" spans="1:5" ht="15" hidden="1" thickBot="1">
      <c r="A297" s="24" t="s">
        <v>48</v>
      </c>
      <c r="B297" s="21">
        <v>188</v>
      </c>
      <c r="C297" s="21">
        <v>136.12</v>
      </c>
      <c r="D297" s="21">
        <v>50.71</v>
      </c>
      <c r="E297" s="12">
        <f>(Table10[[#This Row],[Unit Price]]-Table10[[#This Row],[Unit Cost]])*Table10[[#This Row],[Units Sold]]</f>
        <v>16057.08</v>
      </c>
    </row>
    <row r="298" spans="1:5" ht="15" thickBot="1">
      <c r="A298" s="25" t="s">
        <v>17</v>
      </c>
      <c r="B298" s="12">
        <v>97</v>
      </c>
      <c r="C298" s="12">
        <v>324.42</v>
      </c>
      <c r="D298" s="12">
        <v>294.73</v>
      </c>
      <c r="E298" s="12">
        <f>(Table10[[#This Row],[Unit Price]]-Table10[[#This Row],[Unit Cost]])*Table10[[#This Row],[Units Sold]]</f>
        <v>2879.93</v>
      </c>
    </row>
    <row r="299" spans="1:5" ht="15" hidden="1" thickBot="1">
      <c r="A299" s="24" t="s">
        <v>48</v>
      </c>
      <c r="B299" s="21">
        <v>50</v>
      </c>
      <c r="C299" s="21">
        <v>299.89999999999998</v>
      </c>
      <c r="D299" s="21">
        <v>95.87</v>
      </c>
      <c r="E299" s="12">
        <f>(Table10[[#This Row],[Unit Price]]-Table10[[#This Row],[Unit Cost]])*Table10[[#This Row],[Units Sold]]</f>
        <v>10201.499999999998</v>
      </c>
    </row>
    <row r="300" spans="1:5" ht="15" hidden="1" thickBot="1">
      <c r="A300" s="25" t="s">
        <v>11</v>
      </c>
      <c r="B300" s="12">
        <v>410</v>
      </c>
      <c r="C300" s="12">
        <v>203.59</v>
      </c>
      <c r="D300" s="12">
        <v>149.83000000000001</v>
      </c>
      <c r="E300" s="12">
        <f>(Table10[[#This Row],[Unit Price]]-Table10[[#This Row],[Unit Cost]])*Table10[[#This Row],[Units Sold]]</f>
        <v>22041.599999999995</v>
      </c>
    </row>
    <row r="301" spans="1:5" ht="15" hidden="1" thickBot="1">
      <c r="A301" s="24" t="s">
        <v>22</v>
      </c>
      <c r="B301" s="21">
        <v>85</v>
      </c>
      <c r="C301" s="21">
        <v>186.64</v>
      </c>
      <c r="D301" s="21">
        <v>26.89</v>
      </c>
      <c r="E301" s="12">
        <f>(Table10[[#This Row],[Unit Price]]-Table10[[#This Row],[Unit Cost]])*Table10[[#This Row],[Units Sold]]</f>
        <v>13578.75</v>
      </c>
    </row>
    <row r="302" spans="1:5" ht="15" thickBot="1">
      <c r="A302" s="25" t="s">
        <v>17</v>
      </c>
      <c r="B302" s="12">
        <v>386</v>
      </c>
      <c r="C302" s="12">
        <v>175.06</v>
      </c>
      <c r="D302" s="12">
        <v>320.94</v>
      </c>
      <c r="E302" s="12">
        <f>(Table10[[#This Row],[Unit Price]]-Table10[[#This Row],[Unit Cost]])*Table10[[#This Row],[Units Sold]]</f>
        <v>-56309.68</v>
      </c>
    </row>
    <row r="303" spans="1:5" ht="15" hidden="1" thickBot="1">
      <c r="A303" s="24" t="s">
        <v>22</v>
      </c>
      <c r="B303" s="21">
        <v>55</v>
      </c>
      <c r="C303" s="21">
        <v>310.49</v>
      </c>
      <c r="D303" s="21">
        <v>307.10000000000002</v>
      </c>
      <c r="E303" s="12">
        <f>(Table10[[#This Row],[Unit Price]]-Table10[[#This Row],[Unit Cost]])*Table10[[#This Row],[Units Sold]]</f>
        <v>186.44999999999925</v>
      </c>
    </row>
    <row r="304" spans="1:5" ht="15" hidden="1" thickBot="1">
      <c r="A304" s="25" t="s">
        <v>22</v>
      </c>
      <c r="B304" s="12">
        <v>169</v>
      </c>
      <c r="C304" s="12">
        <v>223.99</v>
      </c>
      <c r="D304" s="12">
        <v>293.98</v>
      </c>
      <c r="E304" s="12">
        <f>(Table10[[#This Row],[Unit Price]]-Table10[[#This Row],[Unit Cost]])*Table10[[#This Row],[Units Sold]]</f>
        <v>-11828.310000000001</v>
      </c>
    </row>
    <row r="305" spans="1:5" ht="15" hidden="1" thickBot="1">
      <c r="A305" s="24" t="s">
        <v>11</v>
      </c>
      <c r="B305" s="21">
        <v>472</v>
      </c>
      <c r="C305" s="21">
        <v>416.77</v>
      </c>
      <c r="D305" s="21">
        <v>121.18</v>
      </c>
      <c r="E305" s="12">
        <f>(Table10[[#This Row],[Unit Price]]-Table10[[#This Row],[Unit Cost]])*Table10[[#This Row],[Units Sold]]</f>
        <v>139518.47999999998</v>
      </c>
    </row>
    <row r="306" spans="1:5" ht="15" hidden="1" thickBot="1">
      <c r="A306" s="25" t="s">
        <v>48</v>
      </c>
      <c r="B306" s="12">
        <v>89</v>
      </c>
      <c r="C306" s="12">
        <v>336.45</v>
      </c>
      <c r="D306" s="12">
        <v>71.05</v>
      </c>
      <c r="E306" s="12">
        <f>(Table10[[#This Row],[Unit Price]]-Table10[[#This Row],[Unit Cost]])*Table10[[#This Row],[Units Sold]]</f>
        <v>23620.6</v>
      </c>
    </row>
    <row r="307" spans="1:5" ht="15" hidden="1" thickBot="1">
      <c r="A307" s="24" t="s">
        <v>48</v>
      </c>
      <c r="B307" s="21">
        <v>319</v>
      </c>
      <c r="C307" s="21">
        <v>39.619999999999997</v>
      </c>
      <c r="D307" s="21">
        <v>255.75</v>
      </c>
      <c r="E307" s="12">
        <f>(Table10[[#This Row],[Unit Price]]-Table10[[#This Row],[Unit Cost]])*Table10[[#This Row],[Units Sold]]</f>
        <v>-68945.47</v>
      </c>
    </row>
    <row r="308" spans="1:5" ht="15" hidden="1" thickBot="1">
      <c r="A308" s="25" t="s">
        <v>22</v>
      </c>
      <c r="B308" s="12">
        <v>95</v>
      </c>
      <c r="C308" s="12">
        <v>321.88</v>
      </c>
      <c r="D308" s="12">
        <v>199.47</v>
      </c>
      <c r="E308" s="12">
        <f>(Table10[[#This Row],[Unit Price]]-Table10[[#This Row],[Unit Cost]])*Table10[[#This Row],[Units Sold]]</f>
        <v>11628.949999999999</v>
      </c>
    </row>
    <row r="309" spans="1:5" ht="15" thickBot="1">
      <c r="A309" s="24" t="s">
        <v>17</v>
      </c>
      <c r="B309" s="21">
        <v>101</v>
      </c>
      <c r="C309" s="21">
        <v>139.22</v>
      </c>
      <c r="D309" s="21">
        <v>72.94</v>
      </c>
      <c r="E309" s="12">
        <f>(Table10[[#This Row],[Unit Price]]-Table10[[#This Row],[Unit Cost]])*Table10[[#This Row],[Units Sold]]</f>
        <v>6694.28</v>
      </c>
    </row>
    <row r="310" spans="1:5" ht="15" hidden="1" thickBot="1">
      <c r="A310" s="25" t="s">
        <v>48</v>
      </c>
      <c r="B310" s="12">
        <v>157</v>
      </c>
      <c r="C310" s="12"/>
      <c r="D310" s="12">
        <v>274.99</v>
      </c>
      <c r="E310" s="12">
        <f>(Table10[[#This Row],[Unit Price]]-Table10[[#This Row],[Unit Cost]])*Table10[[#This Row],[Units Sold]]</f>
        <v>-43173.43</v>
      </c>
    </row>
    <row r="311" spans="1:5" ht="15" thickBot="1">
      <c r="A311" s="24" t="s">
        <v>17</v>
      </c>
      <c r="B311" s="21">
        <v>170</v>
      </c>
      <c r="C311" s="21">
        <v>341.67</v>
      </c>
      <c r="D311" s="21">
        <v>396.47</v>
      </c>
      <c r="E311" s="12">
        <f>(Table10[[#This Row],[Unit Price]]-Table10[[#This Row],[Unit Cost]])*Table10[[#This Row],[Units Sold]]</f>
        <v>-9316.0000000000018</v>
      </c>
    </row>
    <row r="312" spans="1:5" ht="15" hidden="1" thickBot="1">
      <c r="A312" s="25" t="s">
        <v>48</v>
      </c>
      <c r="B312" s="12">
        <v>211</v>
      </c>
      <c r="C312" s="12">
        <v>119.26</v>
      </c>
      <c r="D312" s="12">
        <v>299.39</v>
      </c>
      <c r="E312" s="12">
        <f>(Table10[[#This Row],[Unit Price]]-Table10[[#This Row],[Unit Cost]])*Table10[[#This Row],[Units Sold]]</f>
        <v>-38007.43</v>
      </c>
    </row>
    <row r="313" spans="1:5" ht="15" thickBot="1">
      <c r="A313" s="24" t="s">
        <v>17</v>
      </c>
      <c r="B313" s="21">
        <v>433</v>
      </c>
      <c r="C313" s="21">
        <v>231.15</v>
      </c>
      <c r="D313" s="21">
        <v>296.51</v>
      </c>
      <c r="E313" s="12">
        <f>(Table10[[#This Row],[Unit Price]]-Table10[[#This Row],[Unit Cost]])*Table10[[#This Row],[Units Sold]]</f>
        <v>-28300.879999999994</v>
      </c>
    </row>
    <row r="314" spans="1:5" ht="15" hidden="1" thickBot="1">
      <c r="A314" s="25" t="s">
        <v>11</v>
      </c>
      <c r="B314" s="12">
        <v>425</v>
      </c>
      <c r="C314" s="12">
        <v>99.21</v>
      </c>
      <c r="D314" s="12">
        <v>380.22</v>
      </c>
      <c r="E314" s="12">
        <f>(Table10[[#This Row],[Unit Price]]-Table10[[#This Row],[Unit Cost]])*Table10[[#This Row],[Units Sold]]</f>
        <v>-119429.25000000001</v>
      </c>
    </row>
    <row r="315" spans="1:5" ht="15" thickBot="1">
      <c r="A315" s="24" t="s">
        <v>17</v>
      </c>
      <c r="B315" s="21">
        <v>251</v>
      </c>
      <c r="C315" s="21">
        <v>30.91</v>
      </c>
      <c r="D315" s="21">
        <v>82.77</v>
      </c>
      <c r="E315" s="12">
        <f>(Table10[[#This Row],[Unit Price]]-Table10[[#This Row],[Unit Cost]])*Table10[[#This Row],[Units Sold]]</f>
        <v>-13016.86</v>
      </c>
    </row>
    <row r="316" spans="1:5" ht="15" hidden="1" thickBot="1">
      <c r="A316" s="25" t="s">
        <v>11</v>
      </c>
      <c r="B316" s="12"/>
      <c r="C316" s="12">
        <v>192.35</v>
      </c>
      <c r="D316" s="12">
        <v>227.09</v>
      </c>
      <c r="E316" s="12">
        <f>(Table10[[#This Row],[Unit Price]]-Table10[[#This Row],[Unit Cost]])*Table10[[#This Row],[Units Sold]]</f>
        <v>0</v>
      </c>
    </row>
    <row r="317" spans="1:5" ht="15" hidden="1" thickBot="1">
      <c r="A317" s="24" t="s">
        <v>11</v>
      </c>
      <c r="B317" s="21">
        <v>11</v>
      </c>
      <c r="C317" s="21">
        <v>184.66</v>
      </c>
      <c r="D317" s="21">
        <v>391.9</v>
      </c>
      <c r="E317" s="12">
        <f>(Table10[[#This Row],[Unit Price]]-Table10[[#This Row],[Unit Cost]])*Table10[[#This Row],[Units Sold]]</f>
        <v>-2279.64</v>
      </c>
    </row>
    <row r="318" spans="1:5" ht="15" thickBot="1">
      <c r="A318" s="25" t="s">
        <v>17</v>
      </c>
      <c r="B318" s="12">
        <v>234</v>
      </c>
      <c r="C318" s="12">
        <v>497.76</v>
      </c>
      <c r="D318" s="12">
        <v>67.790000000000006</v>
      </c>
      <c r="E318" s="12">
        <f>(Table10[[#This Row],[Unit Price]]-Table10[[#This Row],[Unit Cost]])*Table10[[#This Row],[Units Sold]]</f>
        <v>100612.98</v>
      </c>
    </row>
    <row r="319" spans="1:5" ht="15" hidden="1" thickBot="1">
      <c r="A319" s="24" t="s">
        <v>11</v>
      </c>
      <c r="B319" s="21"/>
      <c r="C319" s="21">
        <v>225.94</v>
      </c>
      <c r="D319" s="21">
        <v>280.7</v>
      </c>
      <c r="E319" s="12">
        <f>(Table10[[#This Row],[Unit Price]]-Table10[[#This Row],[Unit Cost]])*Table10[[#This Row],[Units Sold]]</f>
        <v>0</v>
      </c>
    </row>
    <row r="320" spans="1:5" ht="15" hidden="1" thickBot="1">
      <c r="A320" s="25" t="s">
        <v>22</v>
      </c>
      <c r="B320" s="12">
        <v>242</v>
      </c>
      <c r="C320" s="12">
        <v>170.12</v>
      </c>
      <c r="D320" s="12">
        <v>235.15</v>
      </c>
      <c r="E320" s="12">
        <f>(Table10[[#This Row],[Unit Price]]-Table10[[#This Row],[Unit Cost]])*Table10[[#This Row],[Units Sold]]</f>
        <v>-15737.26</v>
      </c>
    </row>
    <row r="321" spans="1:5" ht="15" hidden="1" thickBot="1">
      <c r="A321" s="24" t="s">
        <v>11</v>
      </c>
      <c r="B321" s="21">
        <v>470</v>
      </c>
      <c r="C321" s="21">
        <v>292.33999999999997</v>
      </c>
      <c r="D321" s="21">
        <v>235.42</v>
      </c>
      <c r="E321" s="12">
        <f>(Table10[[#This Row],[Unit Price]]-Table10[[#This Row],[Unit Cost]])*Table10[[#This Row],[Units Sold]]</f>
        <v>26752.399999999994</v>
      </c>
    </row>
    <row r="322" spans="1:5" ht="15" hidden="1" thickBot="1">
      <c r="A322" s="25" t="s">
        <v>48</v>
      </c>
      <c r="B322" s="12">
        <v>423</v>
      </c>
      <c r="C322" s="12">
        <v>48.94</v>
      </c>
      <c r="D322" s="12">
        <v>279.67</v>
      </c>
      <c r="E322" s="12">
        <f>(Table10[[#This Row],[Unit Price]]-Table10[[#This Row],[Unit Cost]])*Table10[[#This Row],[Units Sold]]</f>
        <v>-97598.790000000008</v>
      </c>
    </row>
    <row r="323" spans="1:5" ht="15" thickBot="1">
      <c r="A323" s="24" t="s">
        <v>17</v>
      </c>
      <c r="B323" s="21">
        <v>426</v>
      </c>
      <c r="C323" s="21">
        <v>481.02</v>
      </c>
      <c r="D323" s="21">
        <v>371.99</v>
      </c>
      <c r="E323" s="12">
        <f>(Table10[[#This Row],[Unit Price]]-Table10[[#This Row],[Unit Cost]])*Table10[[#This Row],[Units Sold]]</f>
        <v>46446.779999999992</v>
      </c>
    </row>
    <row r="324" spans="1:5" ht="15" hidden="1" thickBot="1">
      <c r="A324" s="25" t="s">
        <v>22</v>
      </c>
      <c r="B324" s="12">
        <v>86</v>
      </c>
      <c r="C324" s="12">
        <v>319.31</v>
      </c>
      <c r="D324" s="12">
        <v>313.47000000000003</v>
      </c>
      <c r="E324" s="12">
        <f>(Table10[[#This Row],[Unit Price]]-Table10[[#This Row],[Unit Cost]])*Table10[[#This Row],[Units Sold]]</f>
        <v>502.23999999999785</v>
      </c>
    </row>
    <row r="325" spans="1:5" ht="15" thickBot="1">
      <c r="A325" s="24" t="s">
        <v>17</v>
      </c>
      <c r="B325" s="21">
        <v>125</v>
      </c>
      <c r="C325" s="21">
        <v>378.64</v>
      </c>
      <c r="D325" s="21">
        <v>24.34</v>
      </c>
      <c r="E325" s="12">
        <f>(Table10[[#This Row],[Unit Price]]-Table10[[#This Row],[Unit Cost]])*Table10[[#This Row],[Units Sold]]</f>
        <v>44287.5</v>
      </c>
    </row>
    <row r="326" spans="1:5" ht="15" hidden="1" thickBot="1">
      <c r="A326" s="25" t="s">
        <v>48</v>
      </c>
      <c r="B326" s="12">
        <v>163</v>
      </c>
      <c r="C326" s="12">
        <v>89.39</v>
      </c>
      <c r="D326" s="12">
        <v>341.39</v>
      </c>
      <c r="E326" s="12">
        <f>(Table10[[#This Row],[Unit Price]]-Table10[[#This Row],[Unit Cost]])*Table10[[#This Row],[Units Sold]]</f>
        <v>-41076</v>
      </c>
    </row>
    <row r="327" spans="1:5" ht="15" hidden="1" thickBot="1">
      <c r="A327" s="24" t="s">
        <v>48</v>
      </c>
      <c r="B327" s="21">
        <v>415</v>
      </c>
      <c r="C327" s="21">
        <v>207.69</v>
      </c>
      <c r="D327" s="21">
        <v>91.77</v>
      </c>
      <c r="E327" s="12">
        <f>(Table10[[#This Row],[Unit Price]]-Table10[[#This Row],[Unit Cost]])*Table10[[#This Row],[Units Sold]]</f>
        <v>48106.8</v>
      </c>
    </row>
    <row r="328" spans="1:5" ht="15" hidden="1" thickBot="1">
      <c r="A328" s="25" t="s">
        <v>48</v>
      </c>
      <c r="B328" s="12">
        <v>112</v>
      </c>
      <c r="C328" s="12">
        <v>214.23</v>
      </c>
      <c r="D328" s="12">
        <v>152.01</v>
      </c>
      <c r="E328" s="12">
        <f>(Table10[[#This Row],[Unit Price]]-Table10[[#This Row],[Unit Cost]])*Table10[[#This Row],[Units Sold]]</f>
        <v>6968.6399999999994</v>
      </c>
    </row>
    <row r="329" spans="1:5" ht="15" hidden="1" thickBot="1">
      <c r="A329" s="24" t="s">
        <v>11</v>
      </c>
      <c r="B329" s="21">
        <v>203</v>
      </c>
      <c r="C329" s="21">
        <v>411.79</v>
      </c>
      <c r="D329" s="21">
        <v>185.77</v>
      </c>
      <c r="E329" s="12">
        <f>(Table10[[#This Row],[Unit Price]]-Table10[[#This Row],[Unit Cost]])*Table10[[#This Row],[Units Sold]]</f>
        <v>45882.060000000005</v>
      </c>
    </row>
    <row r="330" spans="1:5" ht="15" hidden="1" thickBot="1">
      <c r="A330" s="25" t="s">
        <v>11</v>
      </c>
      <c r="B330" s="12"/>
      <c r="C330" s="12">
        <v>5.61</v>
      </c>
      <c r="D330" s="12">
        <v>193.4</v>
      </c>
      <c r="E330" s="12">
        <f>(Table10[[#This Row],[Unit Price]]-Table10[[#This Row],[Unit Cost]])*Table10[[#This Row],[Units Sold]]</f>
        <v>0</v>
      </c>
    </row>
    <row r="331" spans="1:5" ht="15" thickBot="1">
      <c r="A331" s="24" t="s">
        <v>17</v>
      </c>
      <c r="B331" s="21">
        <v>368</v>
      </c>
      <c r="C331" s="21">
        <v>153.91999999999999</v>
      </c>
      <c r="D331" s="21">
        <v>175.2</v>
      </c>
      <c r="E331" s="12">
        <f>(Table10[[#This Row],[Unit Price]]-Table10[[#This Row],[Unit Cost]])*Table10[[#This Row],[Units Sold]]</f>
        <v>-7831.0400000000009</v>
      </c>
    </row>
    <row r="332" spans="1:5" ht="15" thickBot="1">
      <c r="A332" s="25" t="s">
        <v>17</v>
      </c>
      <c r="B332" s="12">
        <v>99</v>
      </c>
      <c r="C332" s="12">
        <v>490.71</v>
      </c>
      <c r="D332" s="12">
        <v>375.07</v>
      </c>
      <c r="E332" s="12">
        <f>(Table10[[#This Row],[Unit Price]]-Table10[[#This Row],[Unit Cost]])*Table10[[#This Row],[Units Sold]]</f>
        <v>11448.359999999999</v>
      </c>
    </row>
    <row r="333" spans="1:5" ht="15" hidden="1" thickBot="1">
      <c r="A333" s="24" t="s">
        <v>22</v>
      </c>
      <c r="B333" s="21">
        <v>183</v>
      </c>
      <c r="C333" s="21">
        <v>240.07</v>
      </c>
      <c r="D333" s="21">
        <v>283</v>
      </c>
      <c r="E333" s="12">
        <f>(Table10[[#This Row],[Unit Price]]-Table10[[#This Row],[Unit Cost]])*Table10[[#This Row],[Units Sold]]</f>
        <v>-7856.1900000000014</v>
      </c>
    </row>
    <row r="334" spans="1:5" ht="15" hidden="1" thickBot="1">
      <c r="A334" s="25"/>
      <c r="B334" s="12">
        <v>131</v>
      </c>
      <c r="C334" s="12">
        <v>194.35</v>
      </c>
      <c r="D334" s="12">
        <v>253.21</v>
      </c>
      <c r="E334" s="12">
        <f>(Table10[[#This Row],[Unit Price]]-Table10[[#This Row],[Unit Cost]])*Table10[[#This Row],[Units Sold]]</f>
        <v>-7710.6600000000017</v>
      </c>
    </row>
    <row r="335" spans="1:5" ht="15" thickBot="1">
      <c r="A335" s="24" t="s">
        <v>17</v>
      </c>
      <c r="B335" s="21">
        <v>152</v>
      </c>
      <c r="C335" s="21">
        <v>64.319999999999993</v>
      </c>
      <c r="D335" s="21">
        <v>21.84</v>
      </c>
      <c r="E335" s="12">
        <f>(Table10[[#This Row],[Unit Price]]-Table10[[#This Row],[Unit Cost]])*Table10[[#This Row],[Units Sold]]</f>
        <v>6456.9599999999982</v>
      </c>
    </row>
    <row r="336" spans="1:5" ht="15" hidden="1" thickBot="1">
      <c r="A336" s="25" t="s">
        <v>11</v>
      </c>
      <c r="B336" s="12">
        <v>491</v>
      </c>
      <c r="C336" s="12">
        <v>487.21</v>
      </c>
      <c r="D336" s="12">
        <v>361.76</v>
      </c>
      <c r="E336" s="12">
        <f>(Table10[[#This Row],[Unit Price]]-Table10[[#This Row],[Unit Cost]])*Table10[[#This Row],[Units Sold]]</f>
        <v>61595.95</v>
      </c>
    </row>
    <row r="337" spans="1:5" ht="15" hidden="1" thickBot="1">
      <c r="A337" s="24" t="s">
        <v>48</v>
      </c>
      <c r="B337" s="21">
        <v>115</v>
      </c>
      <c r="C337" s="21">
        <v>14.91</v>
      </c>
      <c r="D337" s="21">
        <v>363.94</v>
      </c>
      <c r="E337" s="12">
        <f>(Table10[[#This Row],[Unit Price]]-Table10[[#This Row],[Unit Cost]])*Table10[[#This Row],[Units Sold]]</f>
        <v>-40138.449999999997</v>
      </c>
    </row>
    <row r="338" spans="1:5" ht="15" thickBot="1">
      <c r="A338" s="25" t="s">
        <v>17</v>
      </c>
      <c r="B338" s="12">
        <v>384</v>
      </c>
      <c r="C338" s="12">
        <v>369.9</v>
      </c>
      <c r="D338" s="12">
        <v>312.52</v>
      </c>
      <c r="E338" s="12">
        <f>(Table10[[#This Row],[Unit Price]]-Table10[[#This Row],[Unit Cost]])*Table10[[#This Row],[Units Sold]]</f>
        <v>22033.919999999998</v>
      </c>
    </row>
    <row r="339" spans="1:5" ht="15" hidden="1" thickBot="1">
      <c r="A339" s="24" t="s">
        <v>22</v>
      </c>
      <c r="B339" s="21">
        <v>437</v>
      </c>
      <c r="C339" s="21">
        <v>385.46</v>
      </c>
      <c r="D339" s="21">
        <v>4.8</v>
      </c>
      <c r="E339" s="12">
        <f>(Table10[[#This Row],[Unit Price]]-Table10[[#This Row],[Unit Cost]])*Table10[[#This Row],[Units Sold]]</f>
        <v>166348.41999999998</v>
      </c>
    </row>
    <row r="340" spans="1:5" ht="15" hidden="1" thickBot="1">
      <c r="A340" s="25" t="s">
        <v>11</v>
      </c>
      <c r="B340" s="12">
        <v>314</v>
      </c>
      <c r="C340" s="12">
        <v>125.61</v>
      </c>
      <c r="D340" s="12">
        <v>24.8</v>
      </c>
      <c r="E340" s="12">
        <f>(Table10[[#This Row],[Unit Price]]-Table10[[#This Row],[Unit Cost]])*Table10[[#This Row],[Units Sold]]</f>
        <v>31654.34</v>
      </c>
    </row>
    <row r="341" spans="1:5" ht="15" thickBot="1">
      <c r="A341" s="24" t="s">
        <v>17</v>
      </c>
      <c r="B341" s="21">
        <v>369</v>
      </c>
      <c r="C341" s="21">
        <v>337.42</v>
      </c>
      <c r="D341" s="21">
        <v>91.64</v>
      </c>
      <c r="E341" s="12">
        <f>(Table10[[#This Row],[Unit Price]]-Table10[[#This Row],[Unit Cost]])*Table10[[#This Row],[Units Sold]]</f>
        <v>90692.82</v>
      </c>
    </row>
    <row r="342" spans="1:5" ht="15" thickBot="1">
      <c r="A342" s="25" t="s">
        <v>17</v>
      </c>
      <c r="B342" s="12">
        <v>468</v>
      </c>
      <c r="C342" s="12">
        <v>51</v>
      </c>
      <c r="D342" s="12">
        <v>54.28</v>
      </c>
      <c r="E342" s="12">
        <f>(Table10[[#This Row],[Unit Price]]-Table10[[#This Row],[Unit Cost]])*Table10[[#This Row],[Units Sold]]</f>
        <v>-1535.0400000000004</v>
      </c>
    </row>
    <row r="343" spans="1:5" ht="15" hidden="1" thickBot="1">
      <c r="A343" s="24" t="s">
        <v>11</v>
      </c>
      <c r="B343" s="21">
        <v>326</v>
      </c>
      <c r="C343" s="21">
        <v>132.24</v>
      </c>
      <c r="D343" s="21">
        <v>160.74</v>
      </c>
      <c r="E343" s="12">
        <f>(Table10[[#This Row],[Unit Price]]-Table10[[#This Row],[Unit Cost]])*Table10[[#This Row],[Units Sold]]</f>
        <v>-9291</v>
      </c>
    </row>
    <row r="344" spans="1:5" ht="15" thickBot="1">
      <c r="A344" s="25" t="s">
        <v>17</v>
      </c>
      <c r="B344" s="12">
        <v>460</v>
      </c>
      <c r="C344" s="12">
        <v>395.01</v>
      </c>
      <c r="D344" s="12">
        <v>369.2</v>
      </c>
      <c r="E344" s="12">
        <f>(Table10[[#This Row],[Unit Price]]-Table10[[#This Row],[Unit Cost]])*Table10[[#This Row],[Units Sold]]</f>
        <v>11872.6</v>
      </c>
    </row>
    <row r="345" spans="1:5" ht="15" hidden="1" thickBot="1">
      <c r="A345" s="24" t="s">
        <v>11</v>
      </c>
      <c r="B345" s="21">
        <v>132</v>
      </c>
      <c r="C345" s="21">
        <v>433.02</v>
      </c>
      <c r="D345" s="21">
        <v>189.88</v>
      </c>
      <c r="E345" s="12">
        <f>(Table10[[#This Row],[Unit Price]]-Table10[[#This Row],[Unit Cost]])*Table10[[#This Row],[Units Sold]]</f>
        <v>32094.48</v>
      </c>
    </row>
    <row r="346" spans="1:5" ht="15" hidden="1" thickBot="1">
      <c r="A346" s="25" t="s">
        <v>48</v>
      </c>
      <c r="B346" s="12">
        <v>399</v>
      </c>
      <c r="C346" s="12">
        <v>306.2</v>
      </c>
      <c r="D346" s="12">
        <v>7.33</v>
      </c>
      <c r="E346" s="12">
        <f>(Table10[[#This Row],[Unit Price]]-Table10[[#This Row],[Unit Cost]])*Table10[[#This Row],[Units Sold]]</f>
        <v>119249.13</v>
      </c>
    </row>
    <row r="347" spans="1:5" ht="15" hidden="1" thickBot="1">
      <c r="A347" s="24" t="s">
        <v>11</v>
      </c>
      <c r="B347" s="21">
        <v>18</v>
      </c>
      <c r="C347" s="21">
        <v>255.89</v>
      </c>
      <c r="D347" s="21">
        <v>114.53</v>
      </c>
      <c r="E347" s="12">
        <f>(Table10[[#This Row],[Unit Price]]-Table10[[#This Row],[Unit Cost]])*Table10[[#This Row],[Units Sold]]</f>
        <v>2544.4799999999996</v>
      </c>
    </row>
    <row r="348" spans="1:5" ht="15" hidden="1" thickBot="1">
      <c r="A348" s="25" t="s">
        <v>11</v>
      </c>
      <c r="B348" s="12">
        <v>271</v>
      </c>
      <c r="C348" s="12">
        <v>83.86</v>
      </c>
      <c r="D348" s="12">
        <v>19.75</v>
      </c>
      <c r="E348" s="12">
        <f>(Table10[[#This Row],[Unit Price]]-Table10[[#This Row],[Unit Cost]])*Table10[[#This Row],[Units Sold]]</f>
        <v>17373.810000000001</v>
      </c>
    </row>
    <row r="349" spans="1:5" ht="15" hidden="1" thickBot="1">
      <c r="A349" s="24"/>
      <c r="B349" s="21">
        <v>82</v>
      </c>
      <c r="C349" s="21">
        <v>36.24</v>
      </c>
      <c r="D349" s="21">
        <v>16.440000000000001</v>
      </c>
      <c r="E349" s="12">
        <f>(Table10[[#This Row],[Unit Price]]-Table10[[#This Row],[Unit Cost]])*Table10[[#This Row],[Units Sold]]</f>
        <v>1623.6000000000001</v>
      </c>
    </row>
    <row r="350" spans="1:5" ht="15" thickBot="1">
      <c r="A350" s="25" t="s">
        <v>17</v>
      </c>
      <c r="B350" s="12">
        <v>368</v>
      </c>
      <c r="C350" s="12">
        <v>63.24</v>
      </c>
      <c r="D350" s="12">
        <v>111.74</v>
      </c>
      <c r="E350" s="12">
        <f>(Table10[[#This Row],[Unit Price]]-Table10[[#This Row],[Unit Cost]])*Table10[[#This Row],[Units Sold]]</f>
        <v>-17847.999999999996</v>
      </c>
    </row>
    <row r="351" spans="1:5" ht="15" thickBot="1">
      <c r="A351" s="24" t="s">
        <v>17</v>
      </c>
      <c r="B351" s="21">
        <v>232</v>
      </c>
      <c r="C351" s="21">
        <v>117.54</v>
      </c>
      <c r="D351" s="21">
        <v>111.69</v>
      </c>
      <c r="E351" s="12">
        <f>(Table10[[#This Row],[Unit Price]]-Table10[[#This Row],[Unit Cost]])*Table10[[#This Row],[Units Sold]]</f>
        <v>1357.2000000000021</v>
      </c>
    </row>
    <row r="352" spans="1:5" hidden="1">
      <c r="A352" s="30" t="s">
        <v>11</v>
      </c>
      <c r="B352" s="14">
        <v>425</v>
      </c>
      <c r="C352" s="14">
        <v>174.13</v>
      </c>
      <c r="D352" s="14">
        <v>315.27999999999997</v>
      </c>
      <c r="E352" s="14">
        <f>(Table10[[#This Row],[Unit Price]]-Table10[[#This Row],[Unit Cost]])*Table10[[#This Row],[Units Sold]]</f>
        <v>-59988.749999999993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61F5-E8CA-422F-91EE-A9659F0E713E}">
  <dimension ref="A1:G352"/>
  <sheetViews>
    <sheetView topLeftCell="A2" workbookViewId="0">
      <selection activeCell="G5" sqref="G2:G5"/>
    </sheetView>
  </sheetViews>
  <sheetFormatPr defaultRowHeight="14.4"/>
  <cols>
    <col min="1" max="1" width="14.109375" bestFit="1" customWidth="1"/>
    <col min="2" max="2" width="9.77734375" bestFit="1" customWidth="1"/>
    <col min="3" max="3" width="9.5546875" bestFit="1" customWidth="1"/>
    <col min="4" max="4" width="13.109375" bestFit="1" customWidth="1"/>
    <col min="5" max="5" width="10.21875" bestFit="1" customWidth="1"/>
    <col min="7" max="7" width="14.109375" bestFit="1" customWidth="1"/>
  </cols>
  <sheetData>
    <row r="1" spans="1:7">
      <c r="A1" s="32" t="s">
        <v>408</v>
      </c>
    </row>
    <row r="2" spans="1:7" ht="15" thickBot="1">
      <c r="A2" s="28" t="s">
        <v>1</v>
      </c>
      <c r="B2" s="29" t="s">
        <v>7</v>
      </c>
      <c r="C2" s="29" t="s">
        <v>8</v>
      </c>
      <c r="D2" s="29" t="s">
        <v>9</v>
      </c>
      <c r="E2" s="31" t="s">
        <v>405</v>
      </c>
      <c r="G2" s="26" t="s">
        <v>408</v>
      </c>
    </row>
    <row r="3" spans="1:7" ht="15" hidden="1" thickBot="1">
      <c r="A3" s="24" t="s">
        <v>11</v>
      </c>
      <c r="B3" s="21">
        <v>235</v>
      </c>
      <c r="C3" s="21">
        <v>152.91999999999999</v>
      </c>
      <c r="D3" s="21">
        <v>153.6</v>
      </c>
      <c r="E3" s="13">
        <f>(Table1012[[#This Row],[Unit Price]]-Table1012[[#This Row],[Unit Cost]])*Table1012[[#This Row],[Units Sold]]</f>
        <v>-159.8000000000016</v>
      </c>
      <c r="G3" s="26"/>
    </row>
    <row r="4" spans="1:7" ht="15" hidden="1" thickBot="1">
      <c r="A4" s="25" t="s">
        <v>17</v>
      </c>
      <c r="B4" s="12">
        <v>341</v>
      </c>
      <c r="C4" s="12">
        <v>467.92</v>
      </c>
      <c r="D4" s="12">
        <v>139.84</v>
      </c>
      <c r="E4" s="12">
        <f>(Table1012[[#This Row],[Unit Price]]-Table1012[[#This Row],[Unit Cost]])*Table1012[[#This Row],[Units Sold]]</f>
        <v>111875.28000000001</v>
      </c>
      <c r="G4" s="26"/>
    </row>
    <row r="5" spans="1:7" ht="15" thickBot="1">
      <c r="A5" s="24" t="s">
        <v>22</v>
      </c>
      <c r="B5" s="21">
        <v>179</v>
      </c>
      <c r="C5" s="21">
        <v>473.94</v>
      </c>
      <c r="D5" s="21">
        <v>97.14</v>
      </c>
      <c r="E5" s="12">
        <f>(Table1012[[#This Row],[Unit Price]]-Table1012[[#This Row],[Unit Cost]])*Table1012[[#This Row],[Units Sold]]</f>
        <v>67447.199999999997</v>
      </c>
      <c r="G5" s="26">
        <f>AVERAGEIF(A5:A339,"North",E5:E339)</f>
        <v>16608.10525641025</v>
      </c>
    </row>
    <row r="6" spans="1:7" ht="15" hidden="1" thickBot="1">
      <c r="A6" s="25" t="s">
        <v>11</v>
      </c>
      <c r="B6" s="12">
        <v>18</v>
      </c>
      <c r="C6" s="12">
        <v>314.52999999999997</v>
      </c>
      <c r="D6" s="12">
        <v>204.87</v>
      </c>
      <c r="E6" s="12">
        <f>(Table1012[[#This Row],[Unit Price]]-Table1012[[#This Row],[Unit Cost]])*Table1012[[#This Row],[Units Sold]]</f>
        <v>1973.8799999999994</v>
      </c>
    </row>
    <row r="7" spans="1:7" ht="15" hidden="1" thickBot="1">
      <c r="A7" s="24" t="s">
        <v>11</v>
      </c>
      <c r="B7" s="21">
        <v>472</v>
      </c>
      <c r="C7" s="21">
        <v>392.79</v>
      </c>
      <c r="D7" s="21">
        <v>330.46</v>
      </c>
      <c r="E7" s="12">
        <f>(Table1012[[#This Row],[Unit Price]]-Table1012[[#This Row],[Unit Cost]])*Table1012[[#This Row],[Units Sold]]</f>
        <v>29419.76000000002</v>
      </c>
    </row>
    <row r="8" spans="1:7" ht="15" hidden="1" thickBot="1">
      <c r="A8" s="25" t="s">
        <v>17</v>
      </c>
      <c r="B8" s="12">
        <v>49</v>
      </c>
      <c r="C8" s="12">
        <v>308.07</v>
      </c>
      <c r="D8" s="12">
        <v>113.32</v>
      </c>
      <c r="E8" s="12">
        <f>(Table1012[[#This Row],[Unit Price]]-Table1012[[#This Row],[Unit Cost]])*Table1012[[#This Row],[Units Sold]]</f>
        <v>9542.75</v>
      </c>
    </row>
    <row r="9" spans="1:7" ht="15" thickBot="1">
      <c r="A9" s="24" t="s">
        <v>22</v>
      </c>
      <c r="B9" s="21">
        <v>34</v>
      </c>
      <c r="C9" s="21">
        <v>244.78</v>
      </c>
      <c r="D9" s="21">
        <v>377.07</v>
      </c>
      <c r="E9" s="12">
        <f>(Table1012[[#This Row],[Unit Price]]-Table1012[[#This Row],[Unit Cost]])*Table1012[[#This Row],[Units Sold]]</f>
        <v>-4497.8599999999997</v>
      </c>
    </row>
    <row r="10" spans="1:7" ht="15" thickBot="1">
      <c r="A10" s="25" t="s">
        <v>22</v>
      </c>
      <c r="B10" s="12">
        <v>270</v>
      </c>
      <c r="C10" s="12">
        <v>332.11</v>
      </c>
      <c r="D10" s="12">
        <v>349.59</v>
      </c>
      <c r="E10" s="12">
        <f>(Table1012[[#This Row],[Unit Price]]-Table1012[[#This Row],[Unit Cost]])*Table1012[[#This Row],[Units Sold]]</f>
        <v>-4719.5999999999894</v>
      </c>
    </row>
    <row r="11" spans="1:7" ht="15" hidden="1" thickBot="1">
      <c r="A11" s="24" t="s">
        <v>11</v>
      </c>
      <c r="B11" s="21">
        <v>404</v>
      </c>
      <c r="C11" s="21">
        <v>278.74</v>
      </c>
      <c r="D11" s="21">
        <v>66.38</v>
      </c>
      <c r="E11" s="12">
        <f>(Table1012[[#This Row],[Unit Price]]-Table1012[[#This Row],[Unit Cost]])*Table1012[[#This Row],[Units Sold]]</f>
        <v>85793.44</v>
      </c>
    </row>
    <row r="12" spans="1:7" ht="15" hidden="1" thickBot="1">
      <c r="A12" s="25"/>
      <c r="B12" s="12">
        <v>452</v>
      </c>
      <c r="C12" s="12">
        <v>300.75</v>
      </c>
      <c r="D12" s="12">
        <v>314.94</v>
      </c>
      <c r="E12" s="12">
        <f>(Table1012[[#This Row],[Unit Price]]-Table1012[[#This Row],[Unit Cost]])*Table1012[[#This Row],[Units Sold]]</f>
        <v>-6413.8799999999992</v>
      </c>
    </row>
    <row r="13" spans="1:7" ht="15" hidden="1" thickBot="1">
      <c r="A13" s="24" t="s">
        <v>11</v>
      </c>
      <c r="B13" s="21">
        <v>235</v>
      </c>
      <c r="C13" s="21">
        <v>393</v>
      </c>
      <c r="D13" s="21">
        <v>230.69</v>
      </c>
      <c r="E13" s="12">
        <f>(Table1012[[#This Row],[Unit Price]]-Table1012[[#This Row],[Unit Cost]])*Table1012[[#This Row],[Units Sold]]</f>
        <v>38142.85</v>
      </c>
    </row>
    <row r="14" spans="1:7" ht="15" hidden="1" thickBot="1">
      <c r="A14" s="25" t="s">
        <v>11</v>
      </c>
      <c r="B14" s="12">
        <v>481</v>
      </c>
      <c r="C14" s="12">
        <v>243.05</v>
      </c>
      <c r="D14" s="12">
        <v>227.5</v>
      </c>
      <c r="E14" s="12">
        <f>(Table1012[[#This Row],[Unit Price]]-Table1012[[#This Row],[Unit Cost]])*Table1012[[#This Row],[Units Sold]]</f>
        <v>7479.5500000000056</v>
      </c>
    </row>
    <row r="15" spans="1:7" ht="15" hidden="1" thickBot="1">
      <c r="A15" s="24" t="s">
        <v>11</v>
      </c>
      <c r="B15" s="21">
        <v>133</v>
      </c>
      <c r="C15" s="21">
        <v>25.17</v>
      </c>
      <c r="D15" s="21">
        <v>157.63999999999999</v>
      </c>
      <c r="E15" s="12">
        <f>(Table1012[[#This Row],[Unit Price]]-Table1012[[#This Row],[Unit Cost]])*Table1012[[#This Row],[Units Sold]]</f>
        <v>-17618.509999999995</v>
      </c>
    </row>
    <row r="16" spans="1:7" ht="15" hidden="1" thickBot="1">
      <c r="A16" s="25" t="s">
        <v>11</v>
      </c>
      <c r="B16" s="12">
        <v>472</v>
      </c>
      <c r="C16" s="12">
        <v>86.18</v>
      </c>
      <c r="D16" s="12">
        <v>201.46</v>
      </c>
      <c r="E16" s="12">
        <f>(Table1012[[#This Row],[Unit Price]]-Table1012[[#This Row],[Unit Cost]])*Table1012[[#This Row],[Units Sold]]</f>
        <v>-54412.160000000003</v>
      </c>
    </row>
    <row r="17" spans="1:5" ht="15" hidden="1" thickBot="1">
      <c r="A17" s="24" t="s">
        <v>17</v>
      </c>
      <c r="B17" s="21">
        <v>47</v>
      </c>
      <c r="C17" s="21">
        <v>222.11</v>
      </c>
      <c r="D17" s="21">
        <v>160.08000000000001</v>
      </c>
      <c r="E17" s="12">
        <f>(Table1012[[#This Row],[Unit Price]]-Table1012[[#This Row],[Unit Cost]])*Table1012[[#This Row],[Units Sold]]</f>
        <v>2915.41</v>
      </c>
    </row>
    <row r="18" spans="1:5" ht="15" thickBot="1">
      <c r="A18" s="25" t="s">
        <v>22</v>
      </c>
      <c r="B18" s="12">
        <v>337</v>
      </c>
      <c r="C18" s="12">
        <v>363.79</v>
      </c>
      <c r="D18" s="12">
        <v>216.81</v>
      </c>
      <c r="E18" s="12">
        <f>(Table1012[[#This Row],[Unit Price]]-Table1012[[#This Row],[Unit Cost]])*Table1012[[#This Row],[Units Sold]]</f>
        <v>49532.260000000009</v>
      </c>
    </row>
    <row r="19" spans="1:5" ht="15" hidden="1" thickBot="1">
      <c r="A19" s="24" t="s">
        <v>17</v>
      </c>
      <c r="B19" s="21">
        <v>260</v>
      </c>
      <c r="C19" s="21">
        <v>298.67</v>
      </c>
      <c r="D19" s="21">
        <v>251.92</v>
      </c>
      <c r="E19" s="12">
        <f>(Table1012[[#This Row],[Unit Price]]-Table1012[[#This Row],[Unit Cost]])*Table1012[[#This Row],[Units Sold]]</f>
        <v>12155.000000000007</v>
      </c>
    </row>
    <row r="20" spans="1:5" ht="15" hidden="1" thickBot="1">
      <c r="A20" s="25"/>
      <c r="B20" s="12">
        <v>398</v>
      </c>
      <c r="C20" s="12">
        <v>326.89999999999998</v>
      </c>
      <c r="D20" s="12">
        <v>270.37</v>
      </c>
      <c r="E20" s="12">
        <f>(Table1012[[#This Row],[Unit Price]]-Table1012[[#This Row],[Unit Cost]])*Table1012[[#This Row],[Units Sold]]</f>
        <v>22498.939999999988</v>
      </c>
    </row>
    <row r="21" spans="1:5" ht="15" hidden="1" thickBot="1">
      <c r="A21" s="24" t="s">
        <v>17</v>
      </c>
      <c r="B21" s="21">
        <v>185</v>
      </c>
      <c r="C21" s="21">
        <v>242.24</v>
      </c>
      <c r="D21" s="21">
        <v>213.93</v>
      </c>
      <c r="E21" s="12">
        <f>(Table1012[[#This Row],[Unit Price]]-Table1012[[#This Row],[Unit Cost]])*Table1012[[#This Row],[Units Sold]]</f>
        <v>5237.3500000000004</v>
      </c>
    </row>
    <row r="22" spans="1:5" ht="15" hidden="1" thickBot="1">
      <c r="A22" s="25" t="s">
        <v>11</v>
      </c>
      <c r="B22" s="12">
        <v>99</v>
      </c>
      <c r="C22" s="12">
        <v>309.79000000000002</v>
      </c>
      <c r="D22" s="12">
        <v>289.13</v>
      </c>
      <c r="E22" s="12">
        <f>(Table1012[[#This Row],[Unit Price]]-Table1012[[#This Row],[Unit Cost]])*Table1012[[#This Row],[Units Sold]]</f>
        <v>2045.3400000000024</v>
      </c>
    </row>
    <row r="23" spans="1:5" ht="15" hidden="1" thickBot="1">
      <c r="A23" s="24" t="s">
        <v>48</v>
      </c>
      <c r="B23" s="21">
        <v>411</v>
      </c>
      <c r="C23" s="21">
        <v>167.86</v>
      </c>
      <c r="D23" s="21">
        <v>58.23</v>
      </c>
      <c r="E23" s="12">
        <f>(Table1012[[#This Row],[Unit Price]]-Table1012[[#This Row],[Unit Cost]])*Table1012[[#This Row],[Units Sold]]</f>
        <v>45057.930000000008</v>
      </c>
    </row>
    <row r="24" spans="1:5" ht="15" thickBot="1">
      <c r="A24" s="25" t="s">
        <v>22</v>
      </c>
      <c r="B24" s="12">
        <v>463</v>
      </c>
      <c r="C24" s="12">
        <v>237.74</v>
      </c>
      <c r="D24" s="12">
        <v>86.37</v>
      </c>
      <c r="E24" s="12">
        <f>(Table1012[[#This Row],[Unit Price]]-Table1012[[#This Row],[Unit Cost]])*Table1012[[#This Row],[Units Sold]]</f>
        <v>70084.31</v>
      </c>
    </row>
    <row r="25" spans="1:5" ht="15" hidden="1" thickBot="1">
      <c r="A25" s="24" t="s">
        <v>48</v>
      </c>
      <c r="B25" s="21">
        <v>46</v>
      </c>
      <c r="C25" s="21">
        <v>373.42</v>
      </c>
      <c r="D25" s="21">
        <v>327.86</v>
      </c>
      <c r="E25" s="12">
        <f>(Table1012[[#This Row],[Unit Price]]-Table1012[[#This Row],[Unit Cost]])*Table1012[[#This Row],[Units Sold]]</f>
        <v>2095.7600000000002</v>
      </c>
    </row>
    <row r="26" spans="1:5" ht="15" hidden="1" thickBot="1">
      <c r="A26" s="25" t="s">
        <v>17</v>
      </c>
      <c r="B26" s="12">
        <v>325</v>
      </c>
      <c r="C26" s="12">
        <v>436.56</v>
      </c>
      <c r="D26" s="12">
        <v>130.37</v>
      </c>
      <c r="E26" s="12">
        <f>(Table1012[[#This Row],[Unit Price]]-Table1012[[#This Row],[Unit Cost]])*Table1012[[#This Row],[Units Sold]]</f>
        <v>99511.75</v>
      </c>
    </row>
    <row r="27" spans="1:5" ht="15" hidden="1" thickBot="1">
      <c r="A27" s="24" t="s">
        <v>17</v>
      </c>
      <c r="B27" s="21">
        <v>185</v>
      </c>
      <c r="C27" s="21">
        <v>219.66</v>
      </c>
      <c r="D27" s="21">
        <v>11.11</v>
      </c>
      <c r="E27" s="12">
        <f>(Table1012[[#This Row],[Unit Price]]-Table1012[[#This Row],[Unit Cost]])*Table1012[[#This Row],[Units Sold]]</f>
        <v>38581.75</v>
      </c>
    </row>
    <row r="28" spans="1:5" ht="15" hidden="1" thickBot="1">
      <c r="A28" s="25" t="s">
        <v>48</v>
      </c>
      <c r="B28" s="12">
        <v>470</v>
      </c>
      <c r="C28" s="12">
        <v>26.61</v>
      </c>
      <c r="D28" s="12">
        <v>63.21</v>
      </c>
      <c r="E28" s="12">
        <f>(Table1012[[#This Row],[Unit Price]]-Table1012[[#This Row],[Unit Cost]])*Table1012[[#This Row],[Units Sold]]</f>
        <v>-17202</v>
      </c>
    </row>
    <row r="29" spans="1:5" ht="15" hidden="1" thickBot="1">
      <c r="A29" s="24" t="s">
        <v>48</v>
      </c>
      <c r="B29" s="21">
        <v>293</v>
      </c>
      <c r="C29" s="21">
        <v>85.03</v>
      </c>
      <c r="D29" s="21">
        <v>91</v>
      </c>
      <c r="E29" s="12">
        <f>(Table1012[[#This Row],[Unit Price]]-Table1012[[#This Row],[Unit Cost]])*Table1012[[#This Row],[Units Sold]]</f>
        <v>-1749.2099999999996</v>
      </c>
    </row>
    <row r="30" spans="1:5" ht="15" hidden="1" thickBot="1">
      <c r="A30" s="25" t="s">
        <v>48</v>
      </c>
      <c r="B30" s="12">
        <v>462</v>
      </c>
      <c r="C30" s="12"/>
      <c r="D30" s="12">
        <v>383.01</v>
      </c>
      <c r="E30" s="12">
        <f>(Table1012[[#This Row],[Unit Price]]-Table1012[[#This Row],[Unit Cost]])*Table1012[[#This Row],[Units Sold]]</f>
        <v>-176950.62</v>
      </c>
    </row>
    <row r="31" spans="1:5" ht="15" hidden="1" thickBot="1">
      <c r="A31" s="24" t="s">
        <v>17</v>
      </c>
      <c r="B31" s="21">
        <v>470</v>
      </c>
      <c r="C31" s="21">
        <v>328.37</v>
      </c>
      <c r="D31" s="21">
        <v>230.07</v>
      </c>
      <c r="E31" s="12">
        <f>(Table1012[[#This Row],[Unit Price]]-Table1012[[#This Row],[Unit Cost]])*Table1012[[#This Row],[Units Sold]]</f>
        <v>46201.000000000007</v>
      </c>
    </row>
    <row r="32" spans="1:5" ht="15" hidden="1" thickBot="1">
      <c r="A32" s="25" t="s">
        <v>17</v>
      </c>
      <c r="B32" s="12">
        <v>90</v>
      </c>
      <c r="C32" s="12">
        <v>169.5</v>
      </c>
      <c r="D32" s="12">
        <v>373.23</v>
      </c>
      <c r="E32" s="12">
        <f>(Table1012[[#This Row],[Unit Price]]-Table1012[[#This Row],[Unit Cost]])*Table1012[[#This Row],[Units Sold]]</f>
        <v>-18335.7</v>
      </c>
    </row>
    <row r="33" spans="1:5" ht="15" hidden="1" thickBot="1">
      <c r="A33" s="24"/>
      <c r="B33" s="21">
        <v>123</v>
      </c>
      <c r="C33" s="21">
        <v>273.52999999999997</v>
      </c>
      <c r="D33" s="21">
        <v>230.92</v>
      </c>
      <c r="E33" s="12">
        <f>(Table1012[[#This Row],[Unit Price]]-Table1012[[#This Row],[Unit Cost]])*Table1012[[#This Row],[Units Sold]]</f>
        <v>5241.0299999999979</v>
      </c>
    </row>
    <row r="34" spans="1:5" ht="15" thickBot="1">
      <c r="A34" s="25" t="s">
        <v>22</v>
      </c>
      <c r="B34" s="12">
        <v>49</v>
      </c>
      <c r="C34" s="12">
        <v>249.17</v>
      </c>
      <c r="D34" s="12">
        <v>192.78</v>
      </c>
      <c r="E34" s="12">
        <f>(Table1012[[#This Row],[Unit Price]]-Table1012[[#This Row],[Unit Cost]])*Table1012[[#This Row],[Units Sold]]</f>
        <v>2763.1099999999992</v>
      </c>
    </row>
    <row r="35" spans="1:5" ht="15" hidden="1" thickBot="1">
      <c r="A35" s="24" t="s">
        <v>17</v>
      </c>
      <c r="B35" s="21">
        <v>310</v>
      </c>
      <c r="C35" s="21">
        <v>45.36</v>
      </c>
      <c r="D35" s="21">
        <v>126.86</v>
      </c>
      <c r="E35" s="12">
        <f>(Table1012[[#This Row],[Unit Price]]-Table1012[[#This Row],[Unit Cost]])*Table1012[[#This Row],[Units Sold]]</f>
        <v>-25265</v>
      </c>
    </row>
    <row r="36" spans="1:5" ht="15" hidden="1" thickBot="1">
      <c r="A36" s="25" t="s">
        <v>48</v>
      </c>
      <c r="B36" s="12">
        <v>233</v>
      </c>
      <c r="C36" s="12">
        <v>204.61</v>
      </c>
      <c r="D36" s="12">
        <v>243.34</v>
      </c>
      <c r="E36" s="12">
        <f>(Table1012[[#This Row],[Unit Price]]-Table1012[[#This Row],[Unit Cost]])*Table1012[[#This Row],[Units Sold]]</f>
        <v>-9024.0899999999983</v>
      </c>
    </row>
    <row r="37" spans="1:5" ht="15" hidden="1" thickBot="1">
      <c r="A37" s="24" t="s">
        <v>48</v>
      </c>
      <c r="B37" s="21">
        <v>327</v>
      </c>
      <c r="C37" s="21">
        <v>114.18</v>
      </c>
      <c r="D37" s="21">
        <v>57.4</v>
      </c>
      <c r="E37" s="12">
        <f>(Table1012[[#This Row],[Unit Price]]-Table1012[[#This Row],[Unit Cost]])*Table1012[[#This Row],[Units Sold]]</f>
        <v>18567.060000000001</v>
      </c>
    </row>
    <row r="38" spans="1:5" ht="15" thickBot="1">
      <c r="A38" s="25" t="s">
        <v>22</v>
      </c>
      <c r="B38" s="12">
        <v>358</v>
      </c>
      <c r="C38" s="12">
        <v>212.11</v>
      </c>
      <c r="D38" s="12">
        <v>359.51</v>
      </c>
      <c r="E38" s="12">
        <f>(Table1012[[#This Row],[Unit Price]]-Table1012[[#This Row],[Unit Cost]])*Table1012[[#This Row],[Units Sold]]</f>
        <v>-52769.19999999999</v>
      </c>
    </row>
    <row r="39" spans="1:5" ht="15" hidden="1" thickBot="1">
      <c r="A39" s="24" t="s">
        <v>17</v>
      </c>
      <c r="B39" s="21">
        <v>124</v>
      </c>
      <c r="C39" s="21"/>
      <c r="D39" s="21">
        <v>332.07</v>
      </c>
      <c r="E39" s="12">
        <f>(Table1012[[#This Row],[Unit Price]]-Table1012[[#This Row],[Unit Cost]])*Table1012[[#This Row],[Units Sold]]</f>
        <v>-41176.68</v>
      </c>
    </row>
    <row r="40" spans="1:5" ht="15" thickBot="1">
      <c r="A40" s="25" t="s">
        <v>22</v>
      </c>
      <c r="B40" s="12">
        <v>195</v>
      </c>
      <c r="C40" s="12">
        <v>421.02</v>
      </c>
      <c r="D40" s="12">
        <v>128.38</v>
      </c>
      <c r="E40" s="12">
        <f>(Table1012[[#This Row],[Unit Price]]-Table1012[[#This Row],[Unit Cost]])*Table1012[[#This Row],[Units Sold]]</f>
        <v>57064.799999999996</v>
      </c>
    </row>
    <row r="41" spans="1:5" ht="15" thickBot="1">
      <c r="A41" s="24" t="s">
        <v>22</v>
      </c>
      <c r="B41" s="21"/>
      <c r="C41" s="21">
        <v>91.23</v>
      </c>
      <c r="D41" s="21">
        <v>381.21</v>
      </c>
      <c r="E41" s="12">
        <f>(Table1012[[#This Row],[Unit Price]]-Table1012[[#This Row],[Unit Cost]])*Table1012[[#This Row],[Units Sold]]</f>
        <v>0</v>
      </c>
    </row>
    <row r="42" spans="1:5" ht="15" hidden="1" thickBot="1">
      <c r="A42" s="25" t="s">
        <v>11</v>
      </c>
      <c r="B42" s="12">
        <v>65</v>
      </c>
      <c r="C42" s="12">
        <v>480.59</v>
      </c>
      <c r="D42" s="12">
        <v>330.43</v>
      </c>
      <c r="E42" s="12">
        <f>(Table1012[[#This Row],[Unit Price]]-Table1012[[#This Row],[Unit Cost]])*Table1012[[#This Row],[Units Sold]]</f>
        <v>9760.3999999999978</v>
      </c>
    </row>
    <row r="43" spans="1:5" ht="15" hidden="1" thickBot="1">
      <c r="A43" s="24" t="s">
        <v>11</v>
      </c>
      <c r="B43" s="21">
        <v>49</v>
      </c>
      <c r="C43" s="21">
        <v>210.87</v>
      </c>
      <c r="D43" s="21">
        <v>267.19</v>
      </c>
      <c r="E43" s="12">
        <f>(Table1012[[#This Row],[Unit Price]]-Table1012[[#This Row],[Unit Cost]])*Table1012[[#This Row],[Units Sold]]</f>
        <v>-2759.68</v>
      </c>
    </row>
    <row r="44" spans="1:5" ht="15" hidden="1" thickBot="1">
      <c r="A44" s="25" t="s">
        <v>11</v>
      </c>
      <c r="B44" s="12">
        <v>363</v>
      </c>
      <c r="C44" s="12">
        <v>423.89</v>
      </c>
      <c r="D44" s="12">
        <v>50.46</v>
      </c>
      <c r="E44" s="12">
        <f>(Table1012[[#This Row],[Unit Price]]-Table1012[[#This Row],[Unit Cost]])*Table1012[[#This Row],[Units Sold]]</f>
        <v>135555.09</v>
      </c>
    </row>
    <row r="45" spans="1:5" ht="15" hidden="1" thickBot="1">
      <c r="A45" s="24" t="s">
        <v>48</v>
      </c>
      <c r="B45" s="21">
        <v>49</v>
      </c>
      <c r="C45" s="21">
        <v>316.24</v>
      </c>
      <c r="D45" s="21">
        <v>192.34</v>
      </c>
      <c r="E45" s="12">
        <f>(Table1012[[#This Row],[Unit Price]]-Table1012[[#This Row],[Unit Cost]])*Table1012[[#This Row],[Units Sold]]</f>
        <v>6071.1</v>
      </c>
    </row>
    <row r="46" spans="1:5" ht="15" hidden="1" thickBot="1">
      <c r="A46" s="25" t="s">
        <v>17</v>
      </c>
      <c r="B46" s="12">
        <v>356</v>
      </c>
      <c r="C46" s="12">
        <v>369</v>
      </c>
      <c r="D46" s="12">
        <v>203.43</v>
      </c>
      <c r="E46" s="12">
        <f>(Table1012[[#This Row],[Unit Price]]-Table1012[[#This Row],[Unit Cost]])*Table1012[[#This Row],[Units Sold]]</f>
        <v>58942.92</v>
      </c>
    </row>
    <row r="47" spans="1:5" ht="15" hidden="1" thickBot="1">
      <c r="A47" s="24" t="s">
        <v>17</v>
      </c>
      <c r="B47" s="21">
        <v>470</v>
      </c>
      <c r="C47" s="21"/>
      <c r="D47" s="21">
        <v>94.56</v>
      </c>
      <c r="E47" s="12">
        <f>(Table1012[[#This Row],[Unit Price]]-Table1012[[#This Row],[Unit Cost]])*Table1012[[#This Row],[Units Sold]]</f>
        <v>-44443.200000000004</v>
      </c>
    </row>
    <row r="48" spans="1:5" ht="15" hidden="1" thickBot="1">
      <c r="A48" s="25" t="s">
        <v>17</v>
      </c>
      <c r="B48" s="12">
        <v>246</v>
      </c>
      <c r="C48" s="12">
        <v>254.9</v>
      </c>
      <c r="D48" s="12">
        <v>33.83</v>
      </c>
      <c r="E48" s="12">
        <f>(Table1012[[#This Row],[Unit Price]]-Table1012[[#This Row],[Unit Cost]])*Table1012[[#This Row],[Units Sold]]</f>
        <v>54383.22</v>
      </c>
    </row>
    <row r="49" spans="1:5" ht="15" hidden="1" thickBot="1">
      <c r="A49" s="24" t="s">
        <v>17</v>
      </c>
      <c r="B49" s="21">
        <v>298</v>
      </c>
      <c r="C49" s="21">
        <v>273.93</v>
      </c>
      <c r="D49" s="21">
        <v>311.14</v>
      </c>
      <c r="E49" s="12">
        <f>(Table1012[[#This Row],[Unit Price]]-Table1012[[#This Row],[Unit Cost]])*Table1012[[#This Row],[Units Sold]]</f>
        <v>-11088.579999999994</v>
      </c>
    </row>
    <row r="50" spans="1:5" ht="15" hidden="1" thickBot="1">
      <c r="A50" s="25" t="s">
        <v>11</v>
      </c>
      <c r="B50" s="12">
        <v>271</v>
      </c>
      <c r="C50" s="12">
        <v>259.43</v>
      </c>
      <c r="D50" s="12">
        <v>50.57</v>
      </c>
      <c r="E50" s="12">
        <f>(Table1012[[#This Row],[Unit Price]]-Table1012[[#This Row],[Unit Cost]])*Table1012[[#This Row],[Units Sold]]</f>
        <v>56601.060000000005</v>
      </c>
    </row>
    <row r="51" spans="1:5" ht="15" hidden="1" thickBot="1">
      <c r="A51" s="24" t="s">
        <v>48</v>
      </c>
      <c r="B51" s="21">
        <v>225</v>
      </c>
      <c r="C51" s="21">
        <v>296.08999999999997</v>
      </c>
      <c r="D51" s="21">
        <v>238.53</v>
      </c>
      <c r="E51" s="12">
        <f>(Table1012[[#This Row],[Unit Price]]-Table1012[[#This Row],[Unit Cost]])*Table1012[[#This Row],[Units Sold]]</f>
        <v>12950.999999999995</v>
      </c>
    </row>
    <row r="52" spans="1:5" ht="15" hidden="1" thickBot="1">
      <c r="A52" s="25"/>
      <c r="B52" s="12">
        <v>156</v>
      </c>
      <c r="C52" s="12">
        <v>19.55</v>
      </c>
      <c r="D52" s="12">
        <v>374.71</v>
      </c>
      <c r="E52" s="12">
        <f>(Table1012[[#This Row],[Unit Price]]-Table1012[[#This Row],[Unit Cost]])*Table1012[[#This Row],[Units Sold]]</f>
        <v>-55404.959999999992</v>
      </c>
    </row>
    <row r="53" spans="1:5" ht="15" hidden="1" thickBot="1">
      <c r="A53" s="24" t="s">
        <v>11</v>
      </c>
      <c r="B53" s="21">
        <v>345</v>
      </c>
      <c r="C53" s="21">
        <v>200.78</v>
      </c>
      <c r="D53" s="21">
        <v>350.69</v>
      </c>
      <c r="E53" s="12">
        <f>(Table1012[[#This Row],[Unit Price]]-Table1012[[#This Row],[Unit Cost]])*Table1012[[#This Row],[Units Sold]]</f>
        <v>-51718.95</v>
      </c>
    </row>
    <row r="54" spans="1:5" ht="15" hidden="1" thickBot="1">
      <c r="A54" s="25" t="s">
        <v>48</v>
      </c>
      <c r="B54" s="12">
        <v>177</v>
      </c>
      <c r="C54" s="12">
        <v>305.06</v>
      </c>
      <c r="D54" s="12">
        <v>112.55</v>
      </c>
      <c r="E54" s="12">
        <f>(Table1012[[#This Row],[Unit Price]]-Table1012[[#This Row],[Unit Cost]])*Table1012[[#This Row],[Units Sold]]</f>
        <v>34074.269999999997</v>
      </c>
    </row>
    <row r="55" spans="1:5" ht="15" hidden="1" thickBot="1">
      <c r="A55" s="24" t="s">
        <v>11</v>
      </c>
      <c r="B55" s="21">
        <v>101</v>
      </c>
      <c r="C55" s="21">
        <v>300.87</v>
      </c>
      <c r="D55" s="21">
        <v>340.88</v>
      </c>
      <c r="E55" s="12">
        <f>(Table1012[[#This Row],[Unit Price]]-Table1012[[#This Row],[Unit Cost]])*Table1012[[#This Row],[Units Sold]]</f>
        <v>-4041.0099999999993</v>
      </c>
    </row>
    <row r="56" spans="1:5" ht="15" hidden="1" thickBot="1">
      <c r="A56" s="25" t="s">
        <v>17</v>
      </c>
      <c r="B56" s="12">
        <v>362</v>
      </c>
      <c r="C56" s="12">
        <v>397.51</v>
      </c>
      <c r="D56" s="12">
        <v>2.13</v>
      </c>
      <c r="E56" s="12">
        <f>(Table1012[[#This Row],[Unit Price]]-Table1012[[#This Row],[Unit Cost]])*Table1012[[#This Row],[Units Sold]]</f>
        <v>143127.56</v>
      </c>
    </row>
    <row r="57" spans="1:5" ht="15" hidden="1" thickBot="1">
      <c r="A57" s="24" t="s">
        <v>11</v>
      </c>
      <c r="B57" s="21">
        <v>68</v>
      </c>
      <c r="C57" s="21">
        <v>329.23</v>
      </c>
      <c r="D57" s="21">
        <v>9.0399999999999991</v>
      </c>
      <c r="E57" s="12">
        <f>(Table1012[[#This Row],[Unit Price]]-Table1012[[#This Row],[Unit Cost]])*Table1012[[#This Row],[Units Sold]]</f>
        <v>21772.92</v>
      </c>
    </row>
    <row r="58" spans="1:5" ht="15" hidden="1" thickBot="1">
      <c r="A58" s="25" t="s">
        <v>17</v>
      </c>
      <c r="B58" s="12">
        <v>68</v>
      </c>
      <c r="C58" s="12">
        <v>496.11</v>
      </c>
      <c r="D58" s="12">
        <v>241.82</v>
      </c>
      <c r="E58" s="12">
        <f>(Table1012[[#This Row],[Unit Price]]-Table1012[[#This Row],[Unit Cost]])*Table1012[[#This Row],[Units Sold]]</f>
        <v>17291.72</v>
      </c>
    </row>
    <row r="59" spans="1:5" ht="15" hidden="1" thickBot="1">
      <c r="A59" s="24" t="s">
        <v>17</v>
      </c>
      <c r="B59" s="21">
        <v>313</v>
      </c>
      <c r="C59" s="21">
        <v>145.51</v>
      </c>
      <c r="D59" s="21">
        <v>147.19</v>
      </c>
      <c r="E59" s="12">
        <f>(Table1012[[#This Row],[Unit Price]]-Table1012[[#This Row],[Unit Cost]])*Table1012[[#This Row],[Units Sold]]</f>
        <v>-525.84000000000219</v>
      </c>
    </row>
    <row r="60" spans="1:5" ht="15" thickBot="1">
      <c r="A60" s="25" t="s">
        <v>22</v>
      </c>
      <c r="B60" s="12">
        <v>178</v>
      </c>
      <c r="C60" s="12">
        <v>182.78</v>
      </c>
      <c r="D60" s="12">
        <v>155.81</v>
      </c>
      <c r="E60" s="12">
        <f>(Table1012[[#This Row],[Unit Price]]-Table1012[[#This Row],[Unit Cost]])*Table1012[[#This Row],[Units Sold]]</f>
        <v>4800.66</v>
      </c>
    </row>
    <row r="61" spans="1:5" ht="15" hidden="1" thickBot="1">
      <c r="A61" s="24" t="s">
        <v>11</v>
      </c>
      <c r="B61" s="21">
        <v>278</v>
      </c>
      <c r="C61" s="21">
        <v>195</v>
      </c>
      <c r="D61" s="21">
        <v>226.65</v>
      </c>
      <c r="E61" s="12">
        <f>(Table1012[[#This Row],[Unit Price]]-Table1012[[#This Row],[Unit Cost]])*Table1012[[#This Row],[Units Sold]]</f>
        <v>-8798.7000000000007</v>
      </c>
    </row>
    <row r="62" spans="1:5" ht="15" thickBot="1">
      <c r="A62" s="25" t="s">
        <v>22</v>
      </c>
      <c r="B62" s="12">
        <v>372</v>
      </c>
      <c r="C62" s="12">
        <v>235.58</v>
      </c>
      <c r="D62" s="12">
        <v>78.33</v>
      </c>
      <c r="E62" s="12">
        <f>(Table1012[[#This Row],[Unit Price]]-Table1012[[#This Row],[Unit Cost]])*Table1012[[#This Row],[Units Sold]]</f>
        <v>58497</v>
      </c>
    </row>
    <row r="63" spans="1:5" ht="15" hidden="1" thickBot="1">
      <c r="A63" s="24" t="s">
        <v>11</v>
      </c>
      <c r="B63" s="21">
        <v>54</v>
      </c>
      <c r="C63" s="21">
        <v>418.82</v>
      </c>
      <c r="D63" s="21">
        <v>86.28</v>
      </c>
      <c r="E63" s="12">
        <f>(Table1012[[#This Row],[Unit Price]]-Table1012[[#This Row],[Unit Cost]])*Table1012[[#This Row],[Units Sold]]</f>
        <v>17957.159999999996</v>
      </c>
    </row>
    <row r="64" spans="1:5" ht="15" hidden="1" thickBot="1">
      <c r="A64" s="25" t="s">
        <v>11</v>
      </c>
      <c r="B64" s="12">
        <v>354</v>
      </c>
      <c r="C64" s="12">
        <v>121.72</v>
      </c>
      <c r="D64" s="12">
        <v>194.87</v>
      </c>
      <c r="E64" s="12">
        <f>(Table1012[[#This Row],[Unit Price]]-Table1012[[#This Row],[Unit Cost]])*Table1012[[#This Row],[Units Sold]]</f>
        <v>-25895.100000000002</v>
      </c>
    </row>
    <row r="65" spans="1:5" ht="15" thickBot="1">
      <c r="A65" s="24" t="s">
        <v>22</v>
      </c>
      <c r="B65" s="21">
        <v>190</v>
      </c>
      <c r="C65" s="21">
        <v>389.12</v>
      </c>
      <c r="D65" s="21">
        <v>302.19</v>
      </c>
      <c r="E65" s="12">
        <f>(Table1012[[#This Row],[Unit Price]]-Table1012[[#This Row],[Unit Cost]])*Table1012[[#This Row],[Units Sold]]</f>
        <v>16516.7</v>
      </c>
    </row>
    <row r="66" spans="1:5" ht="15" hidden="1" thickBot="1">
      <c r="A66" s="25"/>
      <c r="B66" s="12">
        <v>179</v>
      </c>
      <c r="C66" s="12">
        <v>205.63</v>
      </c>
      <c r="D66" s="12">
        <v>248.56</v>
      </c>
      <c r="E66" s="12">
        <f>(Table1012[[#This Row],[Unit Price]]-Table1012[[#This Row],[Unit Cost]])*Table1012[[#This Row],[Units Sold]]</f>
        <v>-7684.4700000000012</v>
      </c>
    </row>
    <row r="67" spans="1:5" ht="15" hidden="1" thickBot="1">
      <c r="A67" s="24" t="s">
        <v>11</v>
      </c>
      <c r="B67" s="21">
        <v>365</v>
      </c>
      <c r="C67" s="21">
        <v>302.92</v>
      </c>
      <c r="D67" s="21">
        <v>120.35</v>
      </c>
      <c r="E67" s="12">
        <f>(Table1012[[#This Row],[Unit Price]]-Table1012[[#This Row],[Unit Cost]])*Table1012[[#This Row],[Units Sold]]</f>
        <v>66638.05</v>
      </c>
    </row>
    <row r="68" spans="1:5" ht="15" hidden="1" thickBot="1">
      <c r="A68" s="25" t="s">
        <v>48</v>
      </c>
      <c r="B68" s="12">
        <v>200</v>
      </c>
      <c r="C68" s="12">
        <v>318.11</v>
      </c>
      <c r="D68" s="12">
        <v>173.27</v>
      </c>
      <c r="E68" s="12">
        <f>(Table1012[[#This Row],[Unit Price]]-Table1012[[#This Row],[Unit Cost]])*Table1012[[#This Row],[Units Sold]]</f>
        <v>28968</v>
      </c>
    </row>
    <row r="69" spans="1:5" ht="15" hidden="1" thickBot="1">
      <c r="A69" s="24" t="s">
        <v>17</v>
      </c>
      <c r="B69" s="21">
        <v>164</v>
      </c>
      <c r="C69" s="21">
        <v>189.56</v>
      </c>
      <c r="D69" s="21">
        <v>69.92</v>
      </c>
      <c r="E69" s="12">
        <f>(Table1012[[#This Row],[Unit Price]]-Table1012[[#This Row],[Unit Cost]])*Table1012[[#This Row],[Units Sold]]</f>
        <v>19620.96</v>
      </c>
    </row>
    <row r="70" spans="1:5" ht="15" thickBot="1">
      <c r="A70" s="25" t="s">
        <v>22</v>
      </c>
      <c r="B70" s="12">
        <v>431</v>
      </c>
      <c r="C70" s="12">
        <v>258.74</v>
      </c>
      <c r="D70" s="12">
        <v>31.7</v>
      </c>
      <c r="E70" s="12">
        <f>(Table1012[[#This Row],[Unit Price]]-Table1012[[#This Row],[Unit Cost]])*Table1012[[#This Row],[Units Sold]]</f>
        <v>97854.24</v>
      </c>
    </row>
    <row r="71" spans="1:5" ht="15" hidden="1" thickBot="1">
      <c r="A71" s="24" t="s">
        <v>17</v>
      </c>
      <c r="B71" s="21">
        <v>197</v>
      </c>
      <c r="C71" s="21">
        <v>209.45</v>
      </c>
      <c r="D71" s="21">
        <v>313.51</v>
      </c>
      <c r="E71" s="12">
        <f>(Table1012[[#This Row],[Unit Price]]-Table1012[[#This Row],[Unit Cost]])*Table1012[[#This Row],[Units Sold]]</f>
        <v>-20499.82</v>
      </c>
    </row>
    <row r="72" spans="1:5" ht="15" hidden="1" thickBot="1">
      <c r="A72" s="25" t="s">
        <v>48</v>
      </c>
      <c r="B72" s="12">
        <v>16</v>
      </c>
      <c r="C72" s="12">
        <v>39.22</v>
      </c>
      <c r="D72" s="12">
        <v>107.62</v>
      </c>
      <c r="E72" s="12">
        <f>(Table1012[[#This Row],[Unit Price]]-Table1012[[#This Row],[Unit Cost]])*Table1012[[#This Row],[Units Sold]]</f>
        <v>-1094.4000000000001</v>
      </c>
    </row>
    <row r="73" spans="1:5" ht="15" hidden="1" thickBot="1">
      <c r="A73" s="24" t="s">
        <v>48</v>
      </c>
      <c r="B73" s="21">
        <v>142</v>
      </c>
      <c r="C73" s="21">
        <v>221.4</v>
      </c>
      <c r="D73" s="21">
        <v>72.75</v>
      </c>
      <c r="E73" s="12">
        <f>(Table1012[[#This Row],[Unit Price]]-Table1012[[#This Row],[Unit Cost]])*Table1012[[#This Row],[Units Sold]]</f>
        <v>21108.3</v>
      </c>
    </row>
    <row r="74" spans="1:5" ht="15" hidden="1" thickBot="1">
      <c r="A74" s="25" t="s">
        <v>48</v>
      </c>
      <c r="B74" s="12">
        <v>244</v>
      </c>
      <c r="C74" s="12">
        <v>53.21</v>
      </c>
      <c r="D74" s="12">
        <v>277.26</v>
      </c>
      <c r="E74" s="12">
        <f>(Table1012[[#This Row],[Unit Price]]-Table1012[[#This Row],[Unit Cost]])*Table1012[[#This Row],[Units Sold]]</f>
        <v>-54668.2</v>
      </c>
    </row>
    <row r="75" spans="1:5" ht="15" thickBot="1">
      <c r="A75" s="24" t="s">
        <v>22</v>
      </c>
      <c r="B75" s="21">
        <v>54</v>
      </c>
      <c r="C75" s="21">
        <v>205.49</v>
      </c>
      <c r="D75" s="21">
        <v>247.98</v>
      </c>
      <c r="E75" s="12">
        <f>(Table1012[[#This Row],[Unit Price]]-Table1012[[#This Row],[Unit Cost]])*Table1012[[#This Row],[Units Sold]]</f>
        <v>-2294.4599999999991</v>
      </c>
    </row>
    <row r="76" spans="1:5" ht="15" hidden="1" thickBot="1">
      <c r="A76" s="25" t="s">
        <v>48</v>
      </c>
      <c r="B76" s="12">
        <v>323</v>
      </c>
      <c r="C76" s="12">
        <v>298.49</v>
      </c>
      <c r="D76" s="12">
        <v>254.01</v>
      </c>
      <c r="E76" s="12">
        <f>(Table1012[[#This Row],[Unit Price]]-Table1012[[#This Row],[Unit Cost]])*Table1012[[#This Row],[Units Sold]]</f>
        <v>14367.040000000006</v>
      </c>
    </row>
    <row r="77" spans="1:5" ht="15" thickBot="1">
      <c r="A77" s="24" t="s">
        <v>22</v>
      </c>
      <c r="B77" s="21">
        <v>258</v>
      </c>
      <c r="C77" s="21">
        <v>291.81</v>
      </c>
      <c r="D77" s="21">
        <v>93.1</v>
      </c>
      <c r="E77" s="12">
        <f>(Table1012[[#This Row],[Unit Price]]-Table1012[[#This Row],[Unit Cost]])*Table1012[[#This Row],[Units Sold]]</f>
        <v>51267.18</v>
      </c>
    </row>
    <row r="78" spans="1:5" ht="15" hidden="1" thickBot="1">
      <c r="A78" s="25" t="s">
        <v>48</v>
      </c>
      <c r="B78" s="12">
        <v>40</v>
      </c>
      <c r="C78" s="12">
        <v>333</v>
      </c>
      <c r="D78" s="12">
        <v>94.59</v>
      </c>
      <c r="E78" s="12">
        <f>(Table1012[[#This Row],[Unit Price]]-Table1012[[#This Row],[Unit Cost]])*Table1012[[#This Row],[Units Sold]]</f>
        <v>9536.4</v>
      </c>
    </row>
    <row r="79" spans="1:5" ht="15" hidden="1" thickBot="1">
      <c r="A79" s="24" t="s">
        <v>17</v>
      </c>
      <c r="B79" s="21">
        <v>32</v>
      </c>
      <c r="C79" s="21">
        <v>52.15</v>
      </c>
      <c r="D79" s="21">
        <v>89.88</v>
      </c>
      <c r="E79" s="12">
        <f>(Table1012[[#This Row],[Unit Price]]-Table1012[[#This Row],[Unit Cost]])*Table1012[[#This Row],[Units Sold]]</f>
        <v>-1207.3599999999999</v>
      </c>
    </row>
    <row r="80" spans="1:5" ht="15" hidden="1" thickBot="1">
      <c r="A80" s="25" t="s">
        <v>17</v>
      </c>
      <c r="B80" s="12">
        <v>435</v>
      </c>
      <c r="C80" s="12">
        <v>327.8</v>
      </c>
      <c r="D80" s="12">
        <v>71.150000000000006</v>
      </c>
      <c r="E80" s="12">
        <f>(Table1012[[#This Row],[Unit Price]]-Table1012[[#This Row],[Unit Cost]])*Table1012[[#This Row],[Units Sold]]</f>
        <v>111642.74999999999</v>
      </c>
    </row>
    <row r="81" spans="1:5" ht="15" hidden="1" thickBot="1">
      <c r="A81" s="24" t="s">
        <v>11</v>
      </c>
      <c r="B81" s="21">
        <v>403</v>
      </c>
      <c r="C81" s="21">
        <v>159.51</v>
      </c>
      <c r="D81" s="21">
        <v>262.98</v>
      </c>
      <c r="E81" s="12">
        <f>(Table1012[[#This Row],[Unit Price]]-Table1012[[#This Row],[Unit Cost]])*Table1012[[#This Row],[Units Sold]]</f>
        <v>-41698.410000000011</v>
      </c>
    </row>
    <row r="82" spans="1:5" ht="15" hidden="1" thickBot="1">
      <c r="A82" s="25" t="s">
        <v>17</v>
      </c>
      <c r="B82" s="12">
        <v>169</v>
      </c>
      <c r="C82" s="12"/>
      <c r="D82" s="12">
        <v>339.51</v>
      </c>
      <c r="E82" s="12">
        <f>(Table1012[[#This Row],[Unit Price]]-Table1012[[#This Row],[Unit Cost]])*Table1012[[#This Row],[Units Sold]]</f>
        <v>-57377.189999999995</v>
      </c>
    </row>
    <row r="83" spans="1:5" ht="15" hidden="1" thickBot="1">
      <c r="A83" s="24" t="s">
        <v>11</v>
      </c>
      <c r="B83" s="21">
        <v>372</v>
      </c>
      <c r="C83" s="21">
        <v>429.7</v>
      </c>
      <c r="D83" s="21">
        <v>290.27999999999997</v>
      </c>
      <c r="E83" s="12">
        <f>(Table1012[[#This Row],[Unit Price]]-Table1012[[#This Row],[Unit Cost]])*Table1012[[#This Row],[Units Sold]]</f>
        <v>51864.240000000005</v>
      </c>
    </row>
    <row r="84" spans="1:5" ht="15" hidden="1" thickBot="1">
      <c r="A84" s="25" t="s">
        <v>17</v>
      </c>
      <c r="B84" s="12">
        <v>446</v>
      </c>
      <c r="C84" s="12">
        <v>9.4700000000000006</v>
      </c>
      <c r="D84" s="12">
        <v>317.25</v>
      </c>
      <c r="E84" s="12">
        <f>(Table1012[[#This Row],[Unit Price]]-Table1012[[#This Row],[Unit Cost]])*Table1012[[#This Row],[Units Sold]]</f>
        <v>-137269.87999999998</v>
      </c>
    </row>
    <row r="85" spans="1:5" ht="15" thickBot="1">
      <c r="A85" s="24" t="s">
        <v>22</v>
      </c>
      <c r="B85" s="21">
        <v>167</v>
      </c>
      <c r="C85" s="21">
        <v>296.26</v>
      </c>
      <c r="D85" s="21">
        <v>163.11000000000001</v>
      </c>
      <c r="E85" s="12">
        <f>(Table1012[[#This Row],[Unit Price]]-Table1012[[#This Row],[Unit Cost]])*Table1012[[#This Row],[Units Sold]]</f>
        <v>22236.049999999996</v>
      </c>
    </row>
    <row r="86" spans="1:5" ht="15" hidden="1" thickBot="1">
      <c r="A86" s="25" t="s">
        <v>17</v>
      </c>
      <c r="B86" s="12">
        <v>48</v>
      </c>
      <c r="C86" s="12">
        <v>301.36</v>
      </c>
      <c r="D86" s="12">
        <v>262.32</v>
      </c>
      <c r="E86" s="12">
        <f>(Table1012[[#This Row],[Unit Price]]-Table1012[[#This Row],[Unit Cost]])*Table1012[[#This Row],[Units Sold]]</f>
        <v>1873.920000000001</v>
      </c>
    </row>
    <row r="87" spans="1:5" ht="15" hidden="1" thickBot="1">
      <c r="A87" s="24" t="s">
        <v>11</v>
      </c>
      <c r="B87" s="21">
        <v>424</v>
      </c>
      <c r="C87" s="21">
        <v>201.35</v>
      </c>
      <c r="D87" s="21">
        <v>142.99</v>
      </c>
      <c r="E87" s="12">
        <f>(Table1012[[#This Row],[Unit Price]]-Table1012[[#This Row],[Unit Cost]])*Table1012[[#This Row],[Units Sold]]</f>
        <v>24744.639999999992</v>
      </c>
    </row>
    <row r="88" spans="1:5" ht="15" hidden="1" thickBot="1">
      <c r="A88" s="25" t="s">
        <v>11</v>
      </c>
      <c r="B88" s="12">
        <v>91</v>
      </c>
      <c r="C88" s="12">
        <v>122.33</v>
      </c>
      <c r="D88" s="12">
        <v>211.15</v>
      </c>
      <c r="E88" s="12">
        <f>(Table1012[[#This Row],[Unit Price]]-Table1012[[#This Row],[Unit Cost]])*Table1012[[#This Row],[Units Sold]]</f>
        <v>-8082.6200000000008</v>
      </c>
    </row>
    <row r="89" spans="1:5" ht="15" hidden="1" thickBot="1">
      <c r="A89" s="24" t="s">
        <v>48</v>
      </c>
      <c r="B89" s="21">
        <v>365</v>
      </c>
      <c r="C89" s="21">
        <v>121.16</v>
      </c>
      <c r="D89" s="21">
        <v>193.69</v>
      </c>
      <c r="E89" s="12">
        <f>(Table1012[[#This Row],[Unit Price]]-Table1012[[#This Row],[Unit Cost]])*Table1012[[#This Row],[Units Sold]]</f>
        <v>-26473.45</v>
      </c>
    </row>
    <row r="90" spans="1:5" ht="15" thickBot="1">
      <c r="A90" s="25" t="s">
        <v>22</v>
      </c>
      <c r="B90" s="12">
        <v>267</v>
      </c>
      <c r="C90" s="12">
        <v>442.44</v>
      </c>
      <c r="D90" s="12">
        <v>72.400000000000006</v>
      </c>
      <c r="E90" s="12">
        <f>(Table1012[[#This Row],[Unit Price]]-Table1012[[#This Row],[Unit Cost]])*Table1012[[#This Row],[Units Sold]]</f>
        <v>98800.68</v>
      </c>
    </row>
    <row r="91" spans="1:5" ht="15" hidden="1" thickBot="1">
      <c r="A91" s="24" t="s">
        <v>17</v>
      </c>
      <c r="B91" s="21">
        <v>215</v>
      </c>
      <c r="C91" s="21">
        <v>223.8</v>
      </c>
      <c r="D91" s="21">
        <v>156.06</v>
      </c>
      <c r="E91" s="12">
        <f>(Table1012[[#This Row],[Unit Price]]-Table1012[[#This Row],[Unit Cost]])*Table1012[[#This Row],[Units Sold]]</f>
        <v>14564.100000000002</v>
      </c>
    </row>
    <row r="92" spans="1:5" ht="15" hidden="1" thickBot="1">
      <c r="A92" s="25" t="s">
        <v>48</v>
      </c>
      <c r="B92" s="12">
        <v>86</v>
      </c>
      <c r="C92" s="12">
        <v>168.79</v>
      </c>
      <c r="D92" s="12">
        <v>385.6</v>
      </c>
      <c r="E92" s="12">
        <f>(Table1012[[#This Row],[Unit Price]]-Table1012[[#This Row],[Unit Cost]])*Table1012[[#This Row],[Units Sold]]</f>
        <v>-18645.660000000003</v>
      </c>
    </row>
    <row r="93" spans="1:5" ht="15" hidden="1" thickBot="1">
      <c r="A93" s="24" t="s">
        <v>17</v>
      </c>
      <c r="B93" s="21">
        <v>486</v>
      </c>
      <c r="C93" s="21">
        <v>227.14</v>
      </c>
      <c r="D93" s="21">
        <v>100.93</v>
      </c>
      <c r="E93" s="12">
        <f>(Table1012[[#This Row],[Unit Price]]-Table1012[[#This Row],[Unit Cost]])*Table1012[[#This Row],[Units Sold]]</f>
        <v>61338.05999999999</v>
      </c>
    </row>
    <row r="94" spans="1:5" ht="15" hidden="1" thickBot="1">
      <c r="A94" s="25" t="s">
        <v>17</v>
      </c>
      <c r="B94" s="12">
        <v>21</v>
      </c>
      <c r="C94" s="12"/>
      <c r="D94" s="12">
        <v>55.25</v>
      </c>
      <c r="E94" s="12">
        <f>(Table1012[[#This Row],[Unit Price]]-Table1012[[#This Row],[Unit Cost]])*Table1012[[#This Row],[Units Sold]]</f>
        <v>-1160.25</v>
      </c>
    </row>
    <row r="95" spans="1:5" ht="15" hidden="1" thickBot="1">
      <c r="A95" s="24" t="s">
        <v>48</v>
      </c>
      <c r="B95" s="21">
        <v>304</v>
      </c>
      <c r="C95" s="21">
        <v>77.150000000000006</v>
      </c>
      <c r="D95" s="21">
        <v>168.6</v>
      </c>
      <c r="E95" s="12">
        <f>(Table1012[[#This Row],[Unit Price]]-Table1012[[#This Row],[Unit Cost]])*Table1012[[#This Row],[Units Sold]]</f>
        <v>-27800.799999999996</v>
      </c>
    </row>
    <row r="96" spans="1:5" ht="15" hidden="1" thickBot="1">
      <c r="A96" s="25" t="s">
        <v>48</v>
      </c>
      <c r="B96" s="12">
        <v>459</v>
      </c>
      <c r="C96" s="12">
        <v>227.47</v>
      </c>
      <c r="D96" s="12">
        <v>316.55</v>
      </c>
      <c r="E96" s="12">
        <f>(Table1012[[#This Row],[Unit Price]]-Table1012[[#This Row],[Unit Cost]])*Table1012[[#This Row],[Units Sold]]</f>
        <v>-40887.720000000008</v>
      </c>
    </row>
    <row r="97" spans="1:5" ht="15" hidden="1" thickBot="1">
      <c r="A97" s="24" t="s">
        <v>48</v>
      </c>
      <c r="B97" s="21">
        <v>233</v>
      </c>
      <c r="C97" s="21">
        <v>296</v>
      </c>
      <c r="D97" s="21">
        <v>233.69</v>
      </c>
      <c r="E97" s="12">
        <f>(Table1012[[#This Row],[Unit Price]]-Table1012[[#This Row],[Unit Cost]])*Table1012[[#This Row],[Units Sold]]</f>
        <v>14518.230000000001</v>
      </c>
    </row>
    <row r="98" spans="1:5" ht="15" hidden="1" thickBot="1">
      <c r="A98" s="25" t="s">
        <v>48</v>
      </c>
      <c r="B98" s="12">
        <v>22</v>
      </c>
      <c r="C98" s="12">
        <v>474.55</v>
      </c>
      <c r="D98" s="12">
        <v>273.02999999999997</v>
      </c>
      <c r="E98" s="12">
        <f>(Table1012[[#This Row],[Unit Price]]-Table1012[[#This Row],[Unit Cost]])*Table1012[[#This Row],[Units Sold]]</f>
        <v>4433.4400000000005</v>
      </c>
    </row>
    <row r="99" spans="1:5" ht="15" hidden="1" thickBot="1">
      <c r="A99" s="24" t="s">
        <v>48</v>
      </c>
      <c r="B99" s="21">
        <v>55</v>
      </c>
      <c r="C99" s="21">
        <v>130</v>
      </c>
      <c r="D99" s="21">
        <v>77.5</v>
      </c>
      <c r="E99" s="12">
        <f>(Table1012[[#This Row],[Unit Price]]-Table1012[[#This Row],[Unit Cost]])*Table1012[[#This Row],[Units Sold]]</f>
        <v>2887.5</v>
      </c>
    </row>
    <row r="100" spans="1:5" ht="15" hidden="1" thickBot="1">
      <c r="A100" s="25" t="s">
        <v>17</v>
      </c>
      <c r="B100" s="12">
        <v>164</v>
      </c>
      <c r="C100" s="12">
        <v>182.83</v>
      </c>
      <c r="D100" s="12">
        <v>248.34</v>
      </c>
      <c r="E100" s="12">
        <f>(Table1012[[#This Row],[Unit Price]]-Table1012[[#This Row],[Unit Cost]])*Table1012[[#This Row],[Units Sold]]</f>
        <v>-10743.64</v>
      </c>
    </row>
    <row r="101" spans="1:5" ht="15" hidden="1" thickBot="1">
      <c r="A101" s="24" t="s">
        <v>48</v>
      </c>
      <c r="B101" s="21">
        <v>122</v>
      </c>
      <c r="C101" s="21">
        <v>192.78</v>
      </c>
      <c r="D101" s="21">
        <v>130.75</v>
      </c>
      <c r="E101" s="12">
        <f>(Table1012[[#This Row],[Unit Price]]-Table1012[[#This Row],[Unit Cost]])*Table1012[[#This Row],[Units Sold]]</f>
        <v>7567.66</v>
      </c>
    </row>
    <row r="102" spans="1:5" ht="15" thickBot="1">
      <c r="A102" s="25" t="s">
        <v>22</v>
      </c>
      <c r="B102" s="12">
        <v>242</v>
      </c>
      <c r="C102" s="12">
        <v>304.74</v>
      </c>
      <c r="D102" s="12">
        <v>334.05</v>
      </c>
      <c r="E102" s="12">
        <f>(Table1012[[#This Row],[Unit Price]]-Table1012[[#This Row],[Unit Cost]])*Table1012[[#This Row],[Units Sold]]</f>
        <v>-7093.02</v>
      </c>
    </row>
    <row r="103" spans="1:5" ht="15" hidden="1" thickBot="1">
      <c r="A103" s="24" t="s">
        <v>11</v>
      </c>
      <c r="B103" s="21">
        <v>26</v>
      </c>
      <c r="C103" s="21">
        <v>181.58</v>
      </c>
      <c r="D103" s="21">
        <v>252.46</v>
      </c>
      <c r="E103" s="12">
        <f>(Table1012[[#This Row],[Unit Price]]-Table1012[[#This Row],[Unit Cost]])*Table1012[[#This Row],[Units Sold]]</f>
        <v>-1842.8799999999999</v>
      </c>
    </row>
    <row r="104" spans="1:5" ht="15" hidden="1" thickBot="1">
      <c r="A104" s="25" t="s">
        <v>48</v>
      </c>
      <c r="B104" s="12">
        <v>369</v>
      </c>
      <c r="C104" s="12">
        <v>269.08999999999997</v>
      </c>
      <c r="D104" s="12">
        <v>81.14</v>
      </c>
      <c r="E104" s="12">
        <f>(Table1012[[#This Row],[Unit Price]]-Table1012[[#This Row],[Unit Cost]])*Table1012[[#This Row],[Units Sold]]</f>
        <v>69353.55</v>
      </c>
    </row>
    <row r="105" spans="1:5" ht="15" hidden="1" thickBot="1">
      <c r="A105" s="24" t="s">
        <v>48</v>
      </c>
      <c r="B105" s="21">
        <v>232</v>
      </c>
      <c r="C105" s="21">
        <v>391.99</v>
      </c>
      <c r="D105" s="21">
        <v>27.72</v>
      </c>
      <c r="E105" s="12">
        <f>(Table1012[[#This Row],[Unit Price]]-Table1012[[#This Row],[Unit Cost]])*Table1012[[#This Row],[Units Sold]]</f>
        <v>84510.64</v>
      </c>
    </row>
    <row r="106" spans="1:5" ht="15" hidden="1" thickBot="1">
      <c r="A106" s="25" t="s">
        <v>17</v>
      </c>
      <c r="B106" s="12">
        <v>363</v>
      </c>
      <c r="C106" s="12">
        <v>354.17</v>
      </c>
      <c r="D106" s="12">
        <v>18.97</v>
      </c>
      <c r="E106" s="12">
        <f>(Table1012[[#This Row],[Unit Price]]-Table1012[[#This Row],[Unit Cost]])*Table1012[[#This Row],[Units Sold]]</f>
        <v>121677.60000000002</v>
      </c>
    </row>
    <row r="107" spans="1:5" ht="15" hidden="1" thickBot="1">
      <c r="A107" s="24" t="s">
        <v>48</v>
      </c>
      <c r="B107" s="21">
        <v>197</v>
      </c>
      <c r="C107" s="21">
        <v>225.95</v>
      </c>
      <c r="D107" s="21">
        <v>149.82</v>
      </c>
      <c r="E107" s="12">
        <f>(Table1012[[#This Row],[Unit Price]]-Table1012[[#This Row],[Unit Cost]])*Table1012[[#This Row],[Units Sold]]</f>
        <v>14997.609999999999</v>
      </c>
    </row>
    <row r="108" spans="1:5" ht="15" hidden="1" thickBot="1">
      <c r="A108" s="25" t="s">
        <v>48</v>
      </c>
      <c r="B108" s="12">
        <v>457</v>
      </c>
      <c r="C108" s="12">
        <v>432.79</v>
      </c>
      <c r="D108" s="12">
        <v>107.81</v>
      </c>
      <c r="E108" s="12">
        <f>(Table1012[[#This Row],[Unit Price]]-Table1012[[#This Row],[Unit Cost]])*Table1012[[#This Row],[Units Sold]]</f>
        <v>148515.86000000002</v>
      </c>
    </row>
    <row r="109" spans="1:5" ht="15" hidden="1" thickBot="1">
      <c r="A109" s="24" t="s">
        <v>48</v>
      </c>
      <c r="B109" s="21">
        <v>353</v>
      </c>
      <c r="C109" s="21">
        <v>281.27999999999997</v>
      </c>
      <c r="D109" s="21">
        <v>259.14</v>
      </c>
      <c r="E109" s="12">
        <f>(Table1012[[#This Row],[Unit Price]]-Table1012[[#This Row],[Unit Cost]])*Table1012[[#This Row],[Units Sold]]</f>
        <v>7815.4199999999955</v>
      </c>
    </row>
    <row r="110" spans="1:5" ht="15" hidden="1" thickBot="1">
      <c r="A110" s="25" t="s">
        <v>17</v>
      </c>
      <c r="B110" s="12">
        <v>374</v>
      </c>
      <c r="C110" s="12">
        <v>272.25</v>
      </c>
      <c r="D110" s="12">
        <v>200.73</v>
      </c>
      <c r="E110" s="12">
        <f>(Table1012[[#This Row],[Unit Price]]-Table1012[[#This Row],[Unit Cost]])*Table1012[[#This Row],[Units Sold]]</f>
        <v>26748.480000000003</v>
      </c>
    </row>
    <row r="111" spans="1:5" ht="15" hidden="1" thickBot="1">
      <c r="A111" s="24" t="s">
        <v>48</v>
      </c>
      <c r="B111" s="21">
        <v>172</v>
      </c>
      <c r="C111" s="21">
        <v>21.92</v>
      </c>
      <c r="D111" s="21">
        <v>107.88</v>
      </c>
      <c r="E111" s="12">
        <f>(Table1012[[#This Row],[Unit Price]]-Table1012[[#This Row],[Unit Cost]])*Table1012[[#This Row],[Units Sold]]</f>
        <v>-14785.119999999999</v>
      </c>
    </row>
    <row r="112" spans="1:5" ht="15" hidden="1" thickBot="1">
      <c r="A112" s="25" t="s">
        <v>11</v>
      </c>
      <c r="B112" s="12">
        <v>335</v>
      </c>
      <c r="C112" s="12">
        <v>493.41</v>
      </c>
      <c r="D112" s="12">
        <v>61.4</v>
      </c>
      <c r="E112" s="12">
        <f>(Table1012[[#This Row],[Unit Price]]-Table1012[[#This Row],[Unit Cost]])*Table1012[[#This Row],[Units Sold]]</f>
        <v>144723.35</v>
      </c>
    </row>
    <row r="113" spans="1:5" ht="15" hidden="1" thickBot="1">
      <c r="A113" s="24" t="s">
        <v>17</v>
      </c>
      <c r="B113" s="21">
        <v>476</v>
      </c>
      <c r="C113" s="21">
        <v>65.87</v>
      </c>
      <c r="D113" s="21">
        <v>52.63</v>
      </c>
      <c r="E113" s="12">
        <f>(Table1012[[#This Row],[Unit Price]]-Table1012[[#This Row],[Unit Cost]])*Table1012[[#This Row],[Units Sold]]</f>
        <v>6302.2400000000007</v>
      </c>
    </row>
    <row r="114" spans="1:5" ht="15" hidden="1" thickBot="1">
      <c r="A114" s="25" t="s">
        <v>11</v>
      </c>
      <c r="B114" s="12">
        <v>423</v>
      </c>
      <c r="C114" s="12">
        <v>119.41</v>
      </c>
      <c r="D114" s="12">
        <v>346.13</v>
      </c>
      <c r="E114" s="12">
        <f>(Table1012[[#This Row],[Unit Price]]-Table1012[[#This Row],[Unit Cost]])*Table1012[[#This Row],[Units Sold]]</f>
        <v>-95902.56</v>
      </c>
    </row>
    <row r="115" spans="1:5" ht="15" hidden="1" thickBot="1">
      <c r="A115" s="24" t="s">
        <v>17</v>
      </c>
      <c r="B115" s="21">
        <v>464</v>
      </c>
      <c r="C115" s="21">
        <v>30.59</v>
      </c>
      <c r="D115" s="21">
        <v>98.9</v>
      </c>
      <c r="E115" s="12">
        <f>(Table1012[[#This Row],[Unit Price]]-Table1012[[#This Row],[Unit Cost]])*Table1012[[#This Row],[Units Sold]]</f>
        <v>-31695.84</v>
      </c>
    </row>
    <row r="116" spans="1:5" ht="15" hidden="1" thickBot="1">
      <c r="A116" s="25" t="s">
        <v>48</v>
      </c>
      <c r="B116" s="12">
        <v>83</v>
      </c>
      <c r="C116" s="12">
        <v>321.8</v>
      </c>
      <c r="D116" s="12">
        <v>261.38</v>
      </c>
      <c r="E116" s="12">
        <f>(Table1012[[#This Row],[Unit Price]]-Table1012[[#This Row],[Unit Cost]])*Table1012[[#This Row],[Units Sold]]</f>
        <v>5014.8600000000015</v>
      </c>
    </row>
    <row r="117" spans="1:5" ht="15" hidden="1" thickBot="1">
      <c r="A117" s="24" t="s">
        <v>11</v>
      </c>
      <c r="B117" s="21">
        <v>242</v>
      </c>
      <c r="C117" s="21">
        <v>116.23</v>
      </c>
      <c r="D117" s="21">
        <v>324.64999999999998</v>
      </c>
      <c r="E117" s="12">
        <f>(Table1012[[#This Row],[Unit Price]]-Table1012[[#This Row],[Unit Cost]])*Table1012[[#This Row],[Units Sold]]</f>
        <v>-50437.639999999992</v>
      </c>
    </row>
    <row r="118" spans="1:5" ht="15" hidden="1" thickBot="1">
      <c r="A118" s="25" t="s">
        <v>17</v>
      </c>
      <c r="B118" s="12">
        <v>233</v>
      </c>
      <c r="C118" s="12">
        <v>94.11</v>
      </c>
      <c r="D118" s="12">
        <v>246.4</v>
      </c>
      <c r="E118" s="12">
        <f>(Table1012[[#This Row],[Unit Price]]-Table1012[[#This Row],[Unit Cost]])*Table1012[[#This Row],[Units Sold]]</f>
        <v>-35483.570000000007</v>
      </c>
    </row>
    <row r="119" spans="1:5" ht="15" thickBot="1">
      <c r="A119" s="24" t="s">
        <v>22</v>
      </c>
      <c r="B119" s="21">
        <v>491</v>
      </c>
      <c r="C119" s="21">
        <v>48.84</v>
      </c>
      <c r="D119" s="21">
        <v>344.11</v>
      </c>
      <c r="E119" s="12">
        <f>(Table1012[[#This Row],[Unit Price]]-Table1012[[#This Row],[Unit Cost]])*Table1012[[#This Row],[Units Sold]]</f>
        <v>-144977.56999999998</v>
      </c>
    </row>
    <row r="120" spans="1:5" ht="15" hidden="1" thickBot="1">
      <c r="A120" s="25"/>
      <c r="B120" s="12">
        <v>328</v>
      </c>
      <c r="C120" s="12">
        <v>56.14</v>
      </c>
      <c r="D120" s="12">
        <v>158.16999999999999</v>
      </c>
      <c r="E120" s="12">
        <f>(Table1012[[#This Row],[Unit Price]]-Table1012[[#This Row],[Unit Cost]])*Table1012[[#This Row],[Units Sold]]</f>
        <v>-33465.839999999997</v>
      </c>
    </row>
    <row r="121" spans="1:5" ht="15" hidden="1" thickBot="1">
      <c r="A121" s="24" t="s">
        <v>17</v>
      </c>
      <c r="B121" s="21">
        <v>421</v>
      </c>
      <c r="C121" s="21">
        <v>294.41000000000003</v>
      </c>
      <c r="D121" s="21">
        <v>382.58</v>
      </c>
      <c r="E121" s="12">
        <f>(Table1012[[#This Row],[Unit Price]]-Table1012[[#This Row],[Unit Cost]])*Table1012[[#This Row],[Units Sold]]</f>
        <v>-37119.569999999985</v>
      </c>
    </row>
    <row r="122" spans="1:5" ht="15" thickBot="1">
      <c r="A122" s="25" t="s">
        <v>22</v>
      </c>
      <c r="B122" s="12">
        <v>69</v>
      </c>
      <c r="C122" s="12">
        <v>345.66</v>
      </c>
      <c r="D122" s="12">
        <v>54.99</v>
      </c>
      <c r="E122" s="12">
        <f>(Table1012[[#This Row],[Unit Price]]-Table1012[[#This Row],[Unit Cost]])*Table1012[[#This Row],[Units Sold]]</f>
        <v>20056.23</v>
      </c>
    </row>
    <row r="123" spans="1:5" ht="15" hidden="1" thickBot="1">
      <c r="A123" s="24" t="s">
        <v>17</v>
      </c>
      <c r="B123" s="21">
        <v>344</v>
      </c>
      <c r="C123" s="21">
        <v>201.7</v>
      </c>
      <c r="D123" s="21">
        <v>42.66</v>
      </c>
      <c r="E123" s="12">
        <f>(Table1012[[#This Row],[Unit Price]]-Table1012[[#This Row],[Unit Cost]])*Table1012[[#This Row],[Units Sold]]</f>
        <v>54709.759999999995</v>
      </c>
    </row>
    <row r="124" spans="1:5" ht="15" hidden="1" thickBot="1">
      <c r="A124" s="25"/>
      <c r="B124" s="12">
        <v>231</v>
      </c>
      <c r="C124" s="12">
        <v>242.55</v>
      </c>
      <c r="D124" s="12">
        <v>264.16000000000003</v>
      </c>
      <c r="E124" s="12">
        <f>(Table1012[[#This Row],[Unit Price]]-Table1012[[#This Row],[Unit Cost]])*Table1012[[#This Row],[Units Sold]]</f>
        <v>-4991.9100000000035</v>
      </c>
    </row>
    <row r="125" spans="1:5" ht="15" hidden="1" thickBot="1">
      <c r="A125" s="24" t="s">
        <v>48</v>
      </c>
      <c r="B125" s="21">
        <v>46</v>
      </c>
      <c r="C125" s="21">
        <v>344.55</v>
      </c>
      <c r="D125" s="21">
        <v>377.25</v>
      </c>
      <c r="E125" s="12">
        <f>(Table1012[[#This Row],[Unit Price]]-Table1012[[#This Row],[Unit Cost]])*Table1012[[#This Row],[Units Sold]]</f>
        <v>-1504.1999999999994</v>
      </c>
    </row>
    <row r="126" spans="1:5" ht="15" hidden="1" thickBot="1">
      <c r="A126" s="25" t="s">
        <v>11</v>
      </c>
      <c r="B126" s="12">
        <v>486</v>
      </c>
      <c r="C126" s="12">
        <v>13.6</v>
      </c>
      <c r="D126" s="12">
        <v>323.94</v>
      </c>
      <c r="E126" s="12">
        <f>(Table1012[[#This Row],[Unit Price]]-Table1012[[#This Row],[Unit Cost]])*Table1012[[#This Row],[Units Sold]]</f>
        <v>-150825.24</v>
      </c>
    </row>
    <row r="127" spans="1:5" ht="15" thickBot="1">
      <c r="A127" s="24" t="s">
        <v>22</v>
      </c>
      <c r="B127" s="21">
        <v>287</v>
      </c>
      <c r="C127" s="21">
        <v>164.95</v>
      </c>
      <c r="D127" s="21">
        <v>32.409999999999997</v>
      </c>
      <c r="E127" s="12">
        <f>(Table1012[[#This Row],[Unit Price]]-Table1012[[#This Row],[Unit Cost]])*Table1012[[#This Row],[Units Sold]]</f>
        <v>38038.979999999996</v>
      </c>
    </row>
    <row r="128" spans="1:5" ht="15" hidden="1" thickBot="1">
      <c r="A128" s="25" t="s">
        <v>17</v>
      </c>
      <c r="B128" s="12">
        <v>205</v>
      </c>
      <c r="C128" s="12">
        <v>486.68</v>
      </c>
      <c r="D128" s="12">
        <v>113.19</v>
      </c>
      <c r="E128" s="12">
        <f>(Table1012[[#This Row],[Unit Price]]-Table1012[[#This Row],[Unit Cost]])*Table1012[[#This Row],[Units Sold]]</f>
        <v>76565.45</v>
      </c>
    </row>
    <row r="129" spans="1:5" ht="15" hidden="1" thickBot="1">
      <c r="A129" s="24" t="s">
        <v>48</v>
      </c>
      <c r="B129" s="21">
        <v>413</v>
      </c>
      <c r="C129" s="21">
        <v>292.16000000000003</v>
      </c>
      <c r="D129" s="21">
        <v>372.27</v>
      </c>
      <c r="E129" s="12">
        <f>(Table1012[[#This Row],[Unit Price]]-Table1012[[#This Row],[Unit Cost]])*Table1012[[#This Row],[Units Sold]]</f>
        <v>-33085.429999999986</v>
      </c>
    </row>
    <row r="130" spans="1:5" ht="15" thickBot="1">
      <c r="A130" s="25" t="s">
        <v>22</v>
      </c>
      <c r="B130" s="12">
        <v>361</v>
      </c>
      <c r="C130" s="12">
        <v>130.84</v>
      </c>
      <c r="D130" s="12">
        <v>102.72</v>
      </c>
      <c r="E130" s="12">
        <f>(Table1012[[#This Row],[Unit Price]]-Table1012[[#This Row],[Unit Cost]])*Table1012[[#This Row],[Units Sold]]</f>
        <v>10151.320000000002</v>
      </c>
    </row>
    <row r="131" spans="1:5" ht="15" hidden="1" thickBot="1">
      <c r="A131" s="24" t="s">
        <v>17</v>
      </c>
      <c r="B131" s="21">
        <v>493</v>
      </c>
      <c r="C131" s="21">
        <v>263.26</v>
      </c>
      <c r="D131" s="21">
        <v>312.91000000000003</v>
      </c>
      <c r="E131" s="12">
        <f>(Table1012[[#This Row],[Unit Price]]-Table1012[[#This Row],[Unit Cost]])*Table1012[[#This Row],[Units Sold]]</f>
        <v>-24477.450000000015</v>
      </c>
    </row>
    <row r="132" spans="1:5" ht="15" hidden="1" thickBot="1">
      <c r="A132" s="25" t="s">
        <v>17</v>
      </c>
      <c r="B132" s="12">
        <v>251</v>
      </c>
      <c r="C132" s="12">
        <v>174.61</v>
      </c>
      <c r="D132" s="12">
        <v>330.4</v>
      </c>
      <c r="E132" s="12">
        <f>(Table1012[[#This Row],[Unit Price]]-Table1012[[#This Row],[Unit Cost]])*Table1012[[#This Row],[Units Sold]]</f>
        <v>-39103.289999999994</v>
      </c>
    </row>
    <row r="133" spans="1:5" ht="15" hidden="1" thickBot="1">
      <c r="A133" s="24" t="s">
        <v>17</v>
      </c>
      <c r="B133" s="21"/>
      <c r="C133" s="21">
        <v>268.45999999999998</v>
      </c>
      <c r="D133" s="21">
        <v>199.19</v>
      </c>
      <c r="E133" s="12">
        <f>(Table1012[[#This Row],[Unit Price]]-Table1012[[#This Row],[Unit Cost]])*Table1012[[#This Row],[Units Sold]]</f>
        <v>0</v>
      </c>
    </row>
    <row r="134" spans="1:5" ht="15" thickBot="1">
      <c r="A134" s="25" t="s">
        <v>22</v>
      </c>
      <c r="B134" s="12">
        <v>228</v>
      </c>
      <c r="C134" s="12">
        <v>67.239999999999995</v>
      </c>
      <c r="D134" s="12">
        <v>155.77000000000001</v>
      </c>
      <c r="E134" s="12">
        <f>(Table1012[[#This Row],[Unit Price]]-Table1012[[#This Row],[Unit Cost]])*Table1012[[#This Row],[Units Sold]]</f>
        <v>-20184.840000000004</v>
      </c>
    </row>
    <row r="135" spans="1:5" ht="15" thickBot="1">
      <c r="A135" s="24" t="s">
        <v>22</v>
      </c>
      <c r="B135" s="21">
        <v>201</v>
      </c>
      <c r="C135" s="21">
        <v>70.69</v>
      </c>
      <c r="D135" s="21">
        <v>181.15</v>
      </c>
      <c r="E135" s="12">
        <f>(Table1012[[#This Row],[Unit Price]]-Table1012[[#This Row],[Unit Cost]])*Table1012[[#This Row],[Units Sold]]</f>
        <v>-22202.460000000003</v>
      </c>
    </row>
    <row r="136" spans="1:5" ht="15" thickBot="1">
      <c r="A136" s="25" t="s">
        <v>22</v>
      </c>
      <c r="B136" s="12">
        <v>26</v>
      </c>
      <c r="C136" s="12">
        <v>76.05</v>
      </c>
      <c r="D136" s="12">
        <v>92.33</v>
      </c>
      <c r="E136" s="12">
        <f>(Table1012[[#This Row],[Unit Price]]-Table1012[[#This Row],[Unit Cost]])*Table1012[[#This Row],[Units Sold]]</f>
        <v>-423.28000000000003</v>
      </c>
    </row>
    <row r="137" spans="1:5" ht="15" hidden="1" thickBot="1">
      <c r="A137" s="24" t="s">
        <v>11</v>
      </c>
      <c r="B137" s="21">
        <v>21</v>
      </c>
      <c r="C137" s="21">
        <v>470.21</v>
      </c>
      <c r="D137" s="21">
        <v>355.98</v>
      </c>
      <c r="E137" s="12">
        <f>(Table1012[[#This Row],[Unit Price]]-Table1012[[#This Row],[Unit Cost]])*Table1012[[#This Row],[Units Sold]]</f>
        <v>2398.829999999999</v>
      </c>
    </row>
    <row r="138" spans="1:5" ht="15" thickBot="1">
      <c r="A138" s="25" t="s">
        <v>22</v>
      </c>
      <c r="B138" s="12">
        <v>415</v>
      </c>
      <c r="C138" s="12">
        <v>367.78</v>
      </c>
      <c r="D138" s="12">
        <v>181.35</v>
      </c>
      <c r="E138" s="12">
        <f>(Table1012[[#This Row],[Unit Price]]-Table1012[[#This Row],[Unit Cost]])*Table1012[[#This Row],[Units Sold]]</f>
        <v>77368.45</v>
      </c>
    </row>
    <row r="139" spans="1:5" ht="15" thickBot="1">
      <c r="A139" s="24" t="s">
        <v>22</v>
      </c>
      <c r="B139" s="21">
        <v>410</v>
      </c>
      <c r="C139" s="21">
        <v>85.38</v>
      </c>
      <c r="D139" s="21">
        <v>353.22</v>
      </c>
      <c r="E139" s="12">
        <f>(Table1012[[#This Row],[Unit Price]]-Table1012[[#This Row],[Unit Cost]])*Table1012[[#This Row],[Units Sold]]</f>
        <v>-109814.40000000001</v>
      </c>
    </row>
    <row r="140" spans="1:5" ht="15" thickBot="1">
      <c r="A140" s="25" t="s">
        <v>22</v>
      </c>
      <c r="B140" s="12">
        <v>403</v>
      </c>
      <c r="C140" s="12">
        <v>98.23</v>
      </c>
      <c r="D140" s="12">
        <v>44.07</v>
      </c>
      <c r="E140" s="12">
        <f>(Table1012[[#This Row],[Unit Price]]-Table1012[[#This Row],[Unit Cost]])*Table1012[[#This Row],[Units Sold]]</f>
        <v>21826.480000000003</v>
      </c>
    </row>
    <row r="141" spans="1:5" ht="15" hidden="1" thickBot="1">
      <c r="A141" s="24" t="s">
        <v>11</v>
      </c>
      <c r="B141" s="21">
        <v>383</v>
      </c>
      <c r="C141" s="21">
        <v>366.76</v>
      </c>
      <c r="D141" s="21">
        <v>395.33</v>
      </c>
      <c r="E141" s="12">
        <f>(Table1012[[#This Row],[Unit Price]]-Table1012[[#This Row],[Unit Cost]])*Table1012[[#This Row],[Units Sold]]</f>
        <v>-10942.309999999998</v>
      </c>
    </row>
    <row r="142" spans="1:5" ht="15" thickBot="1">
      <c r="A142" s="25" t="s">
        <v>22</v>
      </c>
      <c r="B142" s="12">
        <v>202</v>
      </c>
      <c r="C142" s="12">
        <v>82.3</v>
      </c>
      <c r="D142" s="12">
        <v>178.42</v>
      </c>
      <c r="E142" s="12">
        <f>(Table1012[[#This Row],[Unit Price]]-Table1012[[#This Row],[Unit Cost]])*Table1012[[#This Row],[Units Sold]]</f>
        <v>-19416.239999999998</v>
      </c>
    </row>
    <row r="143" spans="1:5" ht="15" hidden="1" thickBot="1">
      <c r="A143" s="24" t="s">
        <v>17</v>
      </c>
      <c r="B143" s="21">
        <v>31</v>
      </c>
      <c r="C143" s="21">
        <v>121.11</v>
      </c>
      <c r="D143" s="21">
        <v>21.04</v>
      </c>
      <c r="E143" s="12">
        <f>(Table1012[[#This Row],[Unit Price]]-Table1012[[#This Row],[Unit Cost]])*Table1012[[#This Row],[Units Sold]]</f>
        <v>3102.1699999999996</v>
      </c>
    </row>
    <row r="144" spans="1:5" ht="15" thickBot="1">
      <c r="A144" s="25" t="s">
        <v>22</v>
      </c>
      <c r="B144" s="12">
        <v>483</v>
      </c>
      <c r="C144" s="12">
        <v>481.86</v>
      </c>
      <c r="D144" s="12">
        <v>17.13</v>
      </c>
      <c r="E144" s="12">
        <f>(Table1012[[#This Row],[Unit Price]]-Table1012[[#This Row],[Unit Cost]])*Table1012[[#This Row],[Units Sold]]</f>
        <v>224464.59</v>
      </c>
    </row>
    <row r="145" spans="1:5" ht="15" hidden="1" thickBot="1">
      <c r="A145" s="24" t="s">
        <v>17</v>
      </c>
      <c r="B145" s="21">
        <v>129</v>
      </c>
      <c r="C145" s="21">
        <v>131.38</v>
      </c>
      <c r="D145" s="21">
        <v>298.99</v>
      </c>
      <c r="E145" s="12">
        <f>(Table1012[[#This Row],[Unit Price]]-Table1012[[#This Row],[Unit Cost]])*Table1012[[#This Row],[Units Sold]]</f>
        <v>-21621.690000000002</v>
      </c>
    </row>
    <row r="146" spans="1:5" ht="15" hidden="1" thickBot="1">
      <c r="A146" s="25" t="s">
        <v>17</v>
      </c>
      <c r="B146" s="12">
        <v>219</v>
      </c>
      <c r="C146" s="12">
        <v>332.51</v>
      </c>
      <c r="D146" s="12">
        <v>264.3</v>
      </c>
      <c r="E146" s="12">
        <f>(Table1012[[#This Row],[Unit Price]]-Table1012[[#This Row],[Unit Cost]])*Table1012[[#This Row],[Units Sold]]</f>
        <v>14937.989999999996</v>
      </c>
    </row>
    <row r="147" spans="1:5" ht="15" hidden="1" thickBot="1">
      <c r="A147" s="24" t="s">
        <v>17</v>
      </c>
      <c r="B147" s="21">
        <v>315</v>
      </c>
      <c r="C147" s="21">
        <v>489.42</v>
      </c>
      <c r="D147" s="21">
        <v>321.25</v>
      </c>
      <c r="E147" s="12">
        <f>(Table1012[[#This Row],[Unit Price]]-Table1012[[#This Row],[Unit Cost]])*Table1012[[#This Row],[Units Sold]]</f>
        <v>52973.55</v>
      </c>
    </row>
    <row r="148" spans="1:5" ht="15" hidden="1" thickBot="1">
      <c r="A148" s="25" t="s">
        <v>11</v>
      </c>
      <c r="B148" s="12">
        <v>279</v>
      </c>
      <c r="C148" s="12">
        <v>190.28</v>
      </c>
      <c r="D148" s="12">
        <v>43.94</v>
      </c>
      <c r="E148" s="12">
        <f>(Table1012[[#This Row],[Unit Price]]-Table1012[[#This Row],[Unit Cost]])*Table1012[[#This Row],[Units Sold]]</f>
        <v>40828.86</v>
      </c>
    </row>
    <row r="149" spans="1:5" ht="15" hidden="1" thickBot="1">
      <c r="A149" s="24" t="s">
        <v>11</v>
      </c>
      <c r="B149" s="21">
        <v>201</v>
      </c>
      <c r="C149" s="21">
        <v>13.67</v>
      </c>
      <c r="D149" s="21">
        <v>16.16</v>
      </c>
      <c r="E149" s="12">
        <f>(Table1012[[#This Row],[Unit Price]]-Table1012[[#This Row],[Unit Cost]])*Table1012[[#This Row],[Units Sold]]</f>
        <v>-500.49000000000007</v>
      </c>
    </row>
    <row r="150" spans="1:5" ht="15" hidden="1" thickBot="1">
      <c r="A150" s="25" t="s">
        <v>11</v>
      </c>
      <c r="B150" s="12">
        <v>184</v>
      </c>
      <c r="C150" s="12">
        <v>125.85</v>
      </c>
      <c r="D150" s="12">
        <v>204.41</v>
      </c>
      <c r="E150" s="12">
        <f>(Table1012[[#This Row],[Unit Price]]-Table1012[[#This Row],[Unit Cost]])*Table1012[[#This Row],[Units Sold]]</f>
        <v>-14455.04</v>
      </c>
    </row>
    <row r="151" spans="1:5" ht="15" thickBot="1">
      <c r="A151" s="24" t="s">
        <v>22</v>
      </c>
      <c r="B151" s="21">
        <v>294</v>
      </c>
      <c r="C151" s="21">
        <v>416.28</v>
      </c>
      <c r="D151" s="21">
        <v>156.26</v>
      </c>
      <c r="E151" s="12">
        <f>(Table1012[[#This Row],[Unit Price]]-Table1012[[#This Row],[Unit Cost]])*Table1012[[#This Row],[Units Sold]]</f>
        <v>76445.87999999999</v>
      </c>
    </row>
    <row r="152" spans="1:5" ht="15" hidden="1" thickBot="1">
      <c r="A152" s="25" t="s">
        <v>17</v>
      </c>
      <c r="B152" s="12">
        <v>213</v>
      </c>
      <c r="C152" s="12">
        <v>432.98</v>
      </c>
      <c r="D152" s="12">
        <v>185.85</v>
      </c>
      <c r="E152" s="12">
        <f>(Table1012[[#This Row],[Unit Price]]-Table1012[[#This Row],[Unit Cost]])*Table1012[[#This Row],[Units Sold]]</f>
        <v>52638.69</v>
      </c>
    </row>
    <row r="153" spans="1:5" ht="15" hidden="1" thickBot="1">
      <c r="A153" s="24" t="s">
        <v>11</v>
      </c>
      <c r="B153" s="21">
        <v>173</v>
      </c>
      <c r="C153" s="21">
        <v>385.42</v>
      </c>
      <c r="D153" s="21">
        <v>396.65</v>
      </c>
      <c r="E153" s="12">
        <f>(Table1012[[#This Row],[Unit Price]]-Table1012[[#This Row],[Unit Cost]])*Table1012[[#This Row],[Units Sold]]</f>
        <v>-1942.7899999999934</v>
      </c>
    </row>
    <row r="154" spans="1:5" ht="15" hidden="1" thickBot="1">
      <c r="A154" s="25" t="s">
        <v>11</v>
      </c>
      <c r="B154" s="12">
        <v>260</v>
      </c>
      <c r="C154" s="12">
        <v>60.99</v>
      </c>
      <c r="D154" s="12">
        <v>388.36</v>
      </c>
      <c r="E154" s="12">
        <f>(Table1012[[#This Row],[Unit Price]]-Table1012[[#This Row],[Unit Cost]])*Table1012[[#This Row],[Units Sold]]</f>
        <v>-85116.2</v>
      </c>
    </row>
    <row r="155" spans="1:5" ht="15" thickBot="1">
      <c r="A155" s="24" t="s">
        <v>22</v>
      </c>
      <c r="B155" s="21">
        <v>236</v>
      </c>
      <c r="C155" s="21">
        <v>398.78</v>
      </c>
      <c r="D155" s="21">
        <v>377.04</v>
      </c>
      <c r="E155" s="12">
        <f>(Table1012[[#This Row],[Unit Price]]-Table1012[[#This Row],[Unit Cost]])*Table1012[[#This Row],[Units Sold]]</f>
        <v>5130.6399999999885</v>
      </c>
    </row>
    <row r="156" spans="1:5" ht="15" hidden="1" thickBot="1">
      <c r="A156" s="25" t="s">
        <v>11</v>
      </c>
      <c r="B156" s="12">
        <v>445</v>
      </c>
      <c r="C156" s="12">
        <v>459.75</v>
      </c>
      <c r="D156" s="12">
        <v>313.97000000000003</v>
      </c>
      <c r="E156" s="12">
        <f>(Table1012[[#This Row],[Unit Price]]-Table1012[[#This Row],[Unit Cost]])*Table1012[[#This Row],[Units Sold]]</f>
        <v>64872.099999999991</v>
      </c>
    </row>
    <row r="157" spans="1:5" ht="15" thickBot="1">
      <c r="A157" s="24" t="s">
        <v>22</v>
      </c>
      <c r="B157" s="21">
        <v>390</v>
      </c>
      <c r="C157" s="21">
        <v>302.3</v>
      </c>
      <c r="D157" s="21">
        <v>143.22999999999999</v>
      </c>
      <c r="E157" s="12">
        <f>(Table1012[[#This Row],[Unit Price]]-Table1012[[#This Row],[Unit Cost]])*Table1012[[#This Row],[Units Sold]]</f>
        <v>62037.30000000001</v>
      </c>
    </row>
    <row r="158" spans="1:5" ht="15" hidden="1" thickBot="1">
      <c r="A158" s="25" t="s">
        <v>48</v>
      </c>
      <c r="B158" s="12">
        <v>469</v>
      </c>
      <c r="C158" s="12">
        <v>470.73</v>
      </c>
      <c r="D158" s="12">
        <v>166.03</v>
      </c>
      <c r="E158" s="12">
        <f>(Table1012[[#This Row],[Unit Price]]-Table1012[[#This Row],[Unit Cost]])*Table1012[[#This Row],[Units Sold]]</f>
        <v>142904.30000000002</v>
      </c>
    </row>
    <row r="159" spans="1:5" ht="15" hidden="1" thickBot="1">
      <c r="A159" s="24" t="s">
        <v>11</v>
      </c>
      <c r="B159" s="21">
        <v>16</v>
      </c>
      <c r="C159" s="21"/>
      <c r="D159" s="21">
        <v>220.75</v>
      </c>
      <c r="E159" s="12">
        <f>(Table1012[[#This Row],[Unit Price]]-Table1012[[#This Row],[Unit Cost]])*Table1012[[#This Row],[Units Sold]]</f>
        <v>-3532</v>
      </c>
    </row>
    <row r="160" spans="1:5" ht="15" hidden="1" thickBot="1">
      <c r="A160" s="25" t="s">
        <v>48</v>
      </c>
      <c r="B160" s="12">
        <v>38</v>
      </c>
      <c r="C160" s="12">
        <v>335.15</v>
      </c>
      <c r="D160" s="12">
        <v>332.55</v>
      </c>
      <c r="E160" s="12">
        <f>(Table1012[[#This Row],[Unit Price]]-Table1012[[#This Row],[Unit Cost]])*Table1012[[#This Row],[Units Sold]]</f>
        <v>98.799999999998704</v>
      </c>
    </row>
    <row r="161" spans="1:5" ht="15" thickBot="1">
      <c r="A161" s="24" t="s">
        <v>22</v>
      </c>
      <c r="B161" s="21">
        <v>404</v>
      </c>
      <c r="C161" s="21">
        <v>290.70999999999998</v>
      </c>
      <c r="D161" s="21">
        <v>29.35</v>
      </c>
      <c r="E161" s="12">
        <f>(Table1012[[#This Row],[Unit Price]]-Table1012[[#This Row],[Unit Cost]])*Table1012[[#This Row],[Units Sold]]</f>
        <v>105589.43999999999</v>
      </c>
    </row>
    <row r="162" spans="1:5" ht="15" hidden="1" thickBot="1">
      <c r="A162" s="25" t="s">
        <v>17</v>
      </c>
      <c r="B162" s="12">
        <v>42</v>
      </c>
      <c r="C162" s="12">
        <v>177.54</v>
      </c>
      <c r="D162" s="12">
        <v>170.87</v>
      </c>
      <c r="E162" s="12">
        <f>(Table1012[[#This Row],[Unit Price]]-Table1012[[#This Row],[Unit Cost]])*Table1012[[#This Row],[Units Sold]]</f>
        <v>280.13999999999947</v>
      </c>
    </row>
    <row r="163" spans="1:5" ht="15" hidden="1" thickBot="1">
      <c r="A163" s="24" t="s">
        <v>11</v>
      </c>
      <c r="B163" s="21">
        <v>143</v>
      </c>
      <c r="C163" s="21">
        <v>83.85</v>
      </c>
      <c r="D163" s="21">
        <v>34.880000000000003</v>
      </c>
      <c r="E163" s="12">
        <f>(Table1012[[#This Row],[Unit Price]]-Table1012[[#This Row],[Unit Cost]])*Table1012[[#This Row],[Units Sold]]</f>
        <v>7002.7099999999991</v>
      </c>
    </row>
    <row r="164" spans="1:5" ht="15" thickBot="1">
      <c r="A164" s="25" t="s">
        <v>22</v>
      </c>
      <c r="B164" s="12">
        <v>376</v>
      </c>
      <c r="C164" s="12">
        <v>304.45</v>
      </c>
      <c r="D164" s="12">
        <v>206.83</v>
      </c>
      <c r="E164" s="12">
        <f>(Table1012[[#This Row],[Unit Price]]-Table1012[[#This Row],[Unit Cost]])*Table1012[[#This Row],[Units Sold]]</f>
        <v>36705.119999999988</v>
      </c>
    </row>
    <row r="165" spans="1:5" ht="15" hidden="1" thickBot="1">
      <c r="A165" s="24" t="s">
        <v>17</v>
      </c>
      <c r="B165" s="21">
        <v>88</v>
      </c>
      <c r="C165" s="21">
        <v>162.47</v>
      </c>
      <c r="D165" s="21">
        <v>359.76</v>
      </c>
      <c r="E165" s="12">
        <f>(Table1012[[#This Row],[Unit Price]]-Table1012[[#This Row],[Unit Cost]])*Table1012[[#This Row],[Units Sold]]</f>
        <v>-17361.52</v>
      </c>
    </row>
    <row r="166" spans="1:5" ht="15" hidden="1" thickBot="1">
      <c r="A166" s="25" t="s">
        <v>17</v>
      </c>
      <c r="B166" s="12">
        <v>425</v>
      </c>
      <c r="C166" s="12">
        <v>433.89</v>
      </c>
      <c r="D166" s="12">
        <v>313.43</v>
      </c>
      <c r="E166" s="12">
        <f>(Table1012[[#This Row],[Unit Price]]-Table1012[[#This Row],[Unit Cost]])*Table1012[[#This Row],[Units Sold]]</f>
        <v>51195.499999999993</v>
      </c>
    </row>
    <row r="167" spans="1:5" ht="15" hidden="1" thickBot="1">
      <c r="A167" s="24" t="s">
        <v>48</v>
      </c>
      <c r="B167" s="21">
        <v>444</v>
      </c>
      <c r="C167" s="21">
        <v>496.7</v>
      </c>
      <c r="D167" s="21">
        <v>92.68</v>
      </c>
      <c r="E167" s="12">
        <f>(Table1012[[#This Row],[Unit Price]]-Table1012[[#This Row],[Unit Cost]])*Table1012[[#This Row],[Units Sold]]</f>
        <v>179384.88</v>
      </c>
    </row>
    <row r="168" spans="1:5" ht="15" thickBot="1">
      <c r="A168" s="25" t="s">
        <v>22</v>
      </c>
      <c r="B168" s="12">
        <v>468</v>
      </c>
      <c r="C168" s="12">
        <v>377.45</v>
      </c>
      <c r="D168" s="12">
        <v>390.44</v>
      </c>
      <c r="E168" s="12">
        <f>(Table1012[[#This Row],[Unit Price]]-Table1012[[#This Row],[Unit Cost]])*Table1012[[#This Row],[Units Sold]]</f>
        <v>-6079.3200000000043</v>
      </c>
    </row>
    <row r="169" spans="1:5" ht="15" hidden="1" thickBot="1">
      <c r="A169" s="24" t="s">
        <v>17</v>
      </c>
      <c r="B169" s="21">
        <v>67</v>
      </c>
      <c r="C169" s="21">
        <v>49.79</v>
      </c>
      <c r="D169" s="21">
        <v>267.61</v>
      </c>
      <c r="E169" s="12">
        <f>(Table1012[[#This Row],[Unit Price]]-Table1012[[#This Row],[Unit Cost]])*Table1012[[#This Row],[Units Sold]]</f>
        <v>-14593.940000000002</v>
      </c>
    </row>
    <row r="170" spans="1:5" ht="15" hidden="1" thickBot="1">
      <c r="A170" s="25" t="s">
        <v>11</v>
      </c>
      <c r="B170" s="12">
        <v>480</v>
      </c>
      <c r="C170" s="12">
        <v>147.9</v>
      </c>
      <c r="D170" s="12">
        <v>6.15</v>
      </c>
      <c r="E170" s="12">
        <f>(Table1012[[#This Row],[Unit Price]]-Table1012[[#This Row],[Unit Cost]])*Table1012[[#This Row],[Units Sold]]</f>
        <v>68040</v>
      </c>
    </row>
    <row r="171" spans="1:5" ht="15" hidden="1" thickBot="1">
      <c r="A171" s="24" t="s">
        <v>11</v>
      </c>
      <c r="B171" s="21">
        <v>35</v>
      </c>
      <c r="C171" s="21">
        <v>59.01</v>
      </c>
      <c r="D171" s="21">
        <v>103.65</v>
      </c>
      <c r="E171" s="12">
        <f>(Table1012[[#This Row],[Unit Price]]-Table1012[[#This Row],[Unit Cost]])*Table1012[[#This Row],[Units Sold]]</f>
        <v>-1562.4000000000003</v>
      </c>
    </row>
    <row r="172" spans="1:5" ht="15" hidden="1" thickBot="1">
      <c r="A172" s="25" t="s">
        <v>48</v>
      </c>
      <c r="B172" s="12">
        <v>491</v>
      </c>
      <c r="C172" s="12">
        <v>327</v>
      </c>
      <c r="D172" s="12">
        <v>105.76</v>
      </c>
      <c r="E172" s="12">
        <f>(Table1012[[#This Row],[Unit Price]]-Table1012[[#This Row],[Unit Cost]])*Table1012[[#This Row],[Units Sold]]</f>
        <v>108628.84000000001</v>
      </c>
    </row>
    <row r="173" spans="1:5" ht="15" hidden="1" thickBot="1">
      <c r="A173" s="24" t="s">
        <v>17</v>
      </c>
      <c r="B173" s="21">
        <v>439</v>
      </c>
      <c r="C173" s="21">
        <v>383.77</v>
      </c>
      <c r="D173" s="21">
        <v>29.56</v>
      </c>
      <c r="E173" s="12">
        <f>(Table1012[[#This Row],[Unit Price]]-Table1012[[#This Row],[Unit Cost]])*Table1012[[#This Row],[Units Sold]]</f>
        <v>155498.19</v>
      </c>
    </row>
    <row r="174" spans="1:5" ht="15" thickBot="1">
      <c r="A174" s="25" t="s">
        <v>22</v>
      </c>
      <c r="B174" s="12">
        <v>235</v>
      </c>
      <c r="C174" s="12">
        <v>463.21</v>
      </c>
      <c r="D174" s="12">
        <v>384.01</v>
      </c>
      <c r="E174" s="12">
        <f>(Table1012[[#This Row],[Unit Price]]-Table1012[[#This Row],[Unit Cost]])*Table1012[[#This Row],[Units Sold]]</f>
        <v>18611.999999999996</v>
      </c>
    </row>
    <row r="175" spans="1:5" ht="15" hidden="1" thickBot="1">
      <c r="A175" s="24" t="s">
        <v>11</v>
      </c>
      <c r="B175" s="21">
        <v>294</v>
      </c>
      <c r="C175" s="21">
        <v>221.9</v>
      </c>
      <c r="D175" s="21">
        <v>192.35</v>
      </c>
      <c r="E175" s="12">
        <f>(Table1012[[#This Row],[Unit Price]]-Table1012[[#This Row],[Unit Cost]])*Table1012[[#This Row],[Units Sold]]</f>
        <v>8687.7000000000025</v>
      </c>
    </row>
    <row r="176" spans="1:5" ht="15" hidden="1" thickBot="1">
      <c r="A176" s="25" t="s">
        <v>17</v>
      </c>
      <c r="B176" s="12">
        <v>13</v>
      </c>
      <c r="C176" s="12">
        <v>451.18</v>
      </c>
      <c r="D176" s="12">
        <v>358.53</v>
      </c>
      <c r="E176" s="12">
        <f>(Table1012[[#This Row],[Unit Price]]-Table1012[[#This Row],[Unit Cost]])*Table1012[[#This Row],[Units Sold]]</f>
        <v>1204.4500000000005</v>
      </c>
    </row>
    <row r="177" spans="1:5" ht="15" hidden="1" thickBot="1">
      <c r="A177" s="24" t="s">
        <v>17</v>
      </c>
      <c r="B177" s="21">
        <v>474</v>
      </c>
      <c r="C177" s="21">
        <v>439.56</v>
      </c>
      <c r="D177" s="21">
        <v>130.24</v>
      </c>
      <c r="E177" s="12">
        <f>(Table1012[[#This Row],[Unit Price]]-Table1012[[#This Row],[Unit Cost]])*Table1012[[#This Row],[Units Sold]]</f>
        <v>146617.68</v>
      </c>
    </row>
    <row r="178" spans="1:5" ht="15" hidden="1" thickBot="1">
      <c r="A178" s="25" t="s">
        <v>48</v>
      </c>
      <c r="B178" s="12">
        <v>108</v>
      </c>
      <c r="C178" s="12">
        <v>162.01</v>
      </c>
      <c r="D178" s="12">
        <v>51.84</v>
      </c>
      <c r="E178" s="12">
        <f>(Table1012[[#This Row],[Unit Price]]-Table1012[[#This Row],[Unit Cost]])*Table1012[[#This Row],[Units Sold]]</f>
        <v>11898.359999999999</v>
      </c>
    </row>
    <row r="179" spans="1:5" ht="15" hidden="1" thickBot="1">
      <c r="A179" s="24" t="s">
        <v>11</v>
      </c>
      <c r="B179" s="21">
        <v>406</v>
      </c>
      <c r="C179" s="21">
        <v>435.11</v>
      </c>
      <c r="D179" s="21">
        <v>190.79</v>
      </c>
      <c r="E179" s="12">
        <f>(Table1012[[#This Row],[Unit Price]]-Table1012[[#This Row],[Unit Cost]])*Table1012[[#This Row],[Units Sold]]</f>
        <v>99193.920000000013</v>
      </c>
    </row>
    <row r="180" spans="1:5" ht="15" hidden="1" thickBot="1">
      <c r="A180" s="25" t="s">
        <v>11</v>
      </c>
      <c r="B180" s="12">
        <v>498</v>
      </c>
      <c r="C180" s="12">
        <v>190.96</v>
      </c>
      <c r="D180" s="12">
        <v>47.35</v>
      </c>
      <c r="E180" s="12">
        <f>(Table1012[[#This Row],[Unit Price]]-Table1012[[#This Row],[Unit Cost]])*Table1012[[#This Row],[Units Sold]]</f>
        <v>71517.780000000013</v>
      </c>
    </row>
    <row r="181" spans="1:5" ht="15" thickBot="1">
      <c r="A181" s="24" t="s">
        <v>22</v>
      </c>
      <c r="B181" s="21">
        <v>48</v>
      </c>
      <c r="C181" s="21">
        <v>151.94999999999999</v>
      </c>
      <c r="D181" s="21">
        <v>195.43</v>
      </c>
      <c r="E181" s="12">
        <f>(Table1012[[#This Row],[Unit Price]]-Table1012[[#This Row],[Unit Cost]])*Table1012[[#This Row],[Units Sold]]</f>
        <v>-2087.0400000000009</v>
      </c>
    </row>
    <row r="182" spans="1:5" ht="15" hidden="1" thickBot="1">
      <c r="A182" s="25" t="s">
        <v>11</v>
      </c>
      <c r="B182" s="12">
        <v>280</v>
      </c>
      <c r="C182" s="12">
        <v>326.29000000000002</v>
      </c>
      <c r="D182" s="12">
        <v>368.28</v>
      </c>
      <c r="E182" s="12">
        <f>(Table1012[[#This Row],[Unit Price]]-Table1012[[#This Row],[Unit Cost]])*Table1012[[#This Row],[Units Sold]]</f>
        <v>-11757.199999999986</v>
      </c>
    </row>
    <row r="183" spans="1:5" ht="15" thickBot="1">
      <c r="A183" s="24" t="s">
        <v>22</v>
      </c>
      <c r="B183" s="21">
        <v>384</v>
      </c>
      <c r="C183" s="21">
        <v>167.55</v>
      </c>
      <c r="D183" s="21">
        <v>209.27</v>
      </c>
      <c r="E183" s="12">
        <f>(Table1012[[#This Row],[Unit Price]]-Table1012[[#This Row],[Unit Cost]])*Table1012[[#This Row],[Units Sold]]</f>
        <v>-16020.48</v>
      </c>
    </row>
    <row r="184" spans="1:5" ht="15" hidden="1" thickBot="1">
      <c r="A184" s="25" t="s">
        <v>11</v>
      </c>
      <c r="B184" s="12">
        <v>294</v>
      </c>
      <c r="C184" s="12">
        <v>316.95</v>
      </c>
      <c r="D184" s="12">
        <v>247.37</v>
      </c>
      <c r="E184" s="12">
        <f>(Table1012[[#This Row],[Unit Price]]-Table1012[[#This Row],[Unit Cost]])*Table1012[[#This Row],[Units Sold]]</f>
        <v>20456.519999999997</v>
      </c>
    </row>
    <row r="185" spans="1:5" ht="15" hidden="1" thickBot="1">
      <c r="A185" s="24" t="s">
        <v>48</v>
      </c>
      <c r="B185" s="21">
        <v>166</v>
      </c>
      <c r="C185" s="21">
        <v>306.87</v>
      </c>
      <c r="D185" s="21">
        <v>64.34</v>
      </c>
      <c r="E185" s="12">
        <f>(Table1012[[#This Row],[Unit Price]]-Table1012[[#This Row],[Unit Cost]])*Table1012[[#This Row],[Units Sold]]</f>
        <v>40259.980000000003</v>
      </c>
    </row>
    <row r="186" spans="1:5" ht="15" hidden="1" thickBot="1">
      <c r="A186" s="25" t="s">
        <v>11</v>
      </c>
      <c r="B186" s="12">
        <v>84</v>
      </c>
      <c r="C186" s="12">
        <v>283.89999999999998</v>
      </c>
      <c r="D186" s="12">
        <v>19.41</v>
      </c>
      <c r="E186" s="12">
        <f>(Table1012[[#This Row],[Unit Price]]-Table1012[[#This Row],[Unit Cost]])*Table1012[[#This Row],[Units Sold]]</f>
        <v>22217.159999999996</v>
      </c>
    </row>
    <row r="187" spans="1:5" ht="15" thickBot="1">
      <c r="A187" s="24" t="s">
        <v>22</v>
      </c>
      <c r="B187" s="21">
        <v>381</v>
      </c>
      <c r="C187" s="21">
        <v>193.31</v>
      </c>
      <c r="D187" s="21">
        <v>46.1</v>
      </c>
      <c r="E187" s="12">
        <f>(Table1012[[#This Row],[Unit Price]]-Table1012[[#This Row],[Unit Cost]])*Table1012[[#This Row],[Units Sold]]</f>
        <v>56087.01</v>
      </c>
    </row>
    <row r="188" spans="1:5" ht="15" thickBot="1">
      <c r="A188" s="25" t="s">
        <v>22</v>
      </c>
      <c r="B188" s="12">
        <v>297</v>
      </c>
      <c r="C188" s="12">
        <v>276.51</v>
      </c>
      <c r="D188" s="12">
        <v>240.22</v>
      </c>
      <c r="E188" s="12">
        <f>(Table1012[[#This Row],[Unit Price]]-Table1012[[#This Row],[Unit Cost]])*Table1012[[#This Row],[Units Sold]]</f>
        <v>10778.129999999997</v>
      </c>
    </row>
    <row r="189" spans="1:5" ht="15" hidden="1" thickBot="1">
      <c r="A189" s="24" t="s">
        <v>48</v>
      </c>
      <c r="B189" s="21">
        <v>139</v>
      </c>
      <c r="C189" s="21">
        <v>300.26</v>
      </c>
      <c r="D189" s="21">
        <v>39.81</v>
      </c>
      <c r="E189" s="12">
        <f>(Table1012[[#This Row],[Unit Price]]-Table1012[[#This Row],[Unit Cost]])*Table1012[[#This Row],[Units Sold]]</f>
        <v>36202.549999999996</v>
      </c>
    </row>
    <row r="190" spans="1:5" ht="15" hidden="1" thickBot="1">
      <c r="A190" s="25" t="s">
        <v>11</v>
      </c>
      <c r="B190" s="12">
        <v>184</v>
      </c>
      <c r="C190" s="12">
        <v>275.12</v>
      </c>
      <c r="D190" s="12">
        <v>151.65</v>
      </c>
      <c r="E190" s="12">
        <f>(Table1012[[#This Row],[Unit Price]]-Table1012[[#This Row],[Unit Cost]])*Table1012[[#This Row],[Units Sold]]</f>
        <v>22718.48</v>
      </c>
    </row>
    <row r="191" spans="1:5" ht="15" hidden="1" thickBot="1">
      <c r="A191" s="24" t="s">
        <v>11</v>
      </c>
      <c r="B191" s="21">
        <v>471</v>
      </c>
      <c r="C191" s="21">
        <v>224.99</v>
      </c>
      <c r="D191" s="21">
        <v>220.94</v>
      </c>
      <c r="E191" s="12">
        <f>(Table1012[[#This Row],[Unit Price]]-Table1012[[#This Row],[Unit Cost]])*Table1012[[#This Row],[Units Sold]]</f>
        <v>1907.5500000000054</v>
      </c>
    </row>
    <row r="192" spans="1:5" ht="15" hidden="1" thickBot="1">
      <c r="A192" s="25" t="s">
        <v>48</v>
      </c>
      <c r="B192" s="12">
        <v>93</v>
      </c>
      <c r="C192" s="12">
        <v>12.26</v>
      </c>
      <c r="D192" s="12">
        <v>156.68</v>
      </c>
      <c r="E192" s="12">
        <f>(Table1012[[#This Row],[Unit Price]]-Table1012[[#This Row],[Unit Cost]])*Table1012[[#This Row],[Units Sold]]</f>
        <v>-13431.060000000001</v>
      </c>
    </row>
    <row r="193" spans="1:5" ht="15" hidden="1" thickBot="1">
      <c r="A193" s="24" t="s">
        <v>11</v>
      </c>
      <c r="B193" s="21">
        <v>31</v>
      </c>
      <c r="C193" s="21">
        <v>295.60000000000002</v>
      </c>
      <c r="D193" s="21">
        <v>67.150000000000006</v>
      </c>
      <c r="E193" s="12">
        <f>(Table1012[[#This Row],[Unit Price]]-Table1012[[#This Row],[Unit Cost]])*Table1012[[#This Row],[Units Sold]]</f>
        <v>7081.9500000000007</v>
      </c>
    </row>
    <row r="194" spans="1:5" ht="15" hidden="1" thickBot="1">
      <c r="A194" s="25" t="s">
        <v>11</v>
      </c>
      <c r="B194" s="12">
        <v>468</v>
      </c>
      <c r="C194" s="12">
        <v>88.38</v>
      </c>
      <c r="D194" s="12">
        <v>110.97</v>
      </c>
      <c r="E194" s="12">
        <f>(Table1012[[#This Row],[Unit Price]]-Table1012[[#This Row],[Unit Cost]])*Table1012[[#This Row],[Units Sold]]</f>
        <v>-10572.12</v>
      </c>
    </row>
    <row r="195" spans="1:5" ht="15" thickBot="1">
      <c r="A195" s="24" t="s">
        <v>22</v>
      </c>
      <c r="B195" s="21">
        <v>36</v>
      </c>
      <c r="C195" s="21">
        <v>323.08</v>
      </c>
      <c r="D195" s="21">
        <v>371.47</v>
      </c>
      <c r="E195" s="12">
        <f>(Table1012[[#This Row],[Unit Price]]-Table1012[[#This Row],[Unit Cost]])*Table1012[[#This Row],[Units Sold]]</f>
        <v>-1742.0400000000016</v>
      </c>
    </row>
    <row r="196" spans="1:5" ht="15" hidden="1" thickBot="1">
      <c r="A196" s="25" t="s">
        <v>11</v>
      </c>
      <c r="B196" s="12">
        <v>204</v>
      </c>
      <c r="C196" s="12">
        <v>380.88</v>
      </c>
      <c r="D196" s="12">
        <v>271.04000000000002</v>
      </c>
      <c r="E196" s="12">
        <f>(Table1012[[#This Row],[Unit Price]]-Table1012[[#This Row],[Unit Cost]])*Table1012[[#This Row],[Units Sold]]</f>
        <v>22407.359999999993</v>
      </c>
    </row>
    <row r="197" spans="1:5" ht="15" hidden="1" thickBot="1">
      <c r="A197" s="24" t="s">
        <v>11</v>
      </c>
      <c r="B197" s="21">
        <v>346</v>
      </c>
      <c r="C197" s="21">
        <v>252.72</v>
      </c>
      <c r="D197" s="21">
        <v>199.43</v>
      </c>
      <c r="E197" s="12">
        <f>(Table1012[[#This Row],[Unit Price]]-Table1012[[#This Row],[Unit Cost]])*Table1012[[#This Row],[Units Sold]]</f>
        <v>18438.339999999997</v>
      </c>
    </row>
    <row r="198" spans="1:5" ht="15" hidden="1" thickBot="1">
      <c r="A198" s="25" t="s">
        <v>48</v>
      </c>
      <c r="B198" s="12">
        <v>391</v>
      </c>
      <c r="C198" s="12">
        <v>273.47000000000003</v>
      </c>
      <c r="D198" s="12">
        <v>7.06</v>
      </c>
      <c r="E198" s="12">
        <f>(Table1012[[#This Row],[Unit Price]]-Table1012[[#This Row],[Unit Cost]])*Table1012[[#This Row],[Units Sold]]</f>
        <v>104166.31000000001</v>
      </c>
    </row>
    <row r="199" spans="1:5" ht="15" hidden="1" thickBot="1">
      <c r="A199" s="24" t="s">
        <v>48</v>
      </c>
      <c r="B199" s="21">
        <v>245</v>
      </c>
      <c r="C199" s="21">
        <v>475.98</v>
      </c>
      <c r="D199" s="21">
        <v>396.98</v>
      </c>
      <c r="E199" s="12">
        <f>(Table1012[[#This Row],[Unit Price]]-Table1012[[#This Row],[Unit Cost]])*Table1012[[#This Row],[Units Sold]]</f>
        <v>19355</v>
      </c>
    </row>
    <row r="200" spans="1:5" ht="15" hidden="1" thickBot="1">
      <c r="A200" s="25" t="s">
        <v>17</v>
      </c>
      <c r="B200" s="12">
        <v>449</v>
      </c>
      <c r="C200" s="12">
        <v>424.35</v>
      </c>
      <c r="D200" s="12">
        <v>269.24</v>
      </c>
      <c r="E200" s="12">
        <f>(Table1012[[#This Row],[Unit Price]]-Table1012[[#This Row],[Unit Cost]])*Table1012[[#This Row],[Units Sold]]</f>
        <v>69644.39</v>
      </c>
    </row>
    <row r="201" spans="1:5" ht="15" thickBot="1">
      <c r="A201" s="24" t="s">
        <v>22</v>
      </c>
      <c r="B201" s="21">
        <v>101</v>
      </c>
      <c r="C201" s="21">
        <v>457.55</v>
      </c>
      <c r="D201" s="21">
        <v>128.13999999999999</v>
      </c>
      <c r="E201" s="12">
        <f>(Table1012[[#This Row],[Unit Price]]-Table1012[[#This Row],[Unit Cost]])*Table1012[[#This Row],[Units Sold]]</f>
        <v>33270.410000000003</v>
      </c>
    </row>
    <row r="202" spans="1:5" ht="15" hidden="1" thickBot="1">
      <c r="A202" s="25" t="s">
        <v>11</v>
      </c>
      <c r="B202" s="12"/>
      <c r="C202" s="12">
        <v>407.81</v>
      </c>
      <c r="D202" s="12">
        <v>351.95</v>
      </c>
      <c r="E202" s="12">
        <f>(Table1012[[#This Row],[Unit Price]]-Table1012[[#This Row],[Unit Cost]])*Table1012[[#This Row],[Units Sold]]</f>
        <v>0</v>
      </c>
    </row>
    <row r="203" spans="1:5" ht="15" hidden="1" thickBot="1">
      <c r="A203" s="24" t="s">
        <v>11</v>
      </c>
      <c r="B203" s="21">
        <v>30</v>
      </c>
      <c r="C203" s="21">
        <v>58.91</v>
      </c>
      <c r="D203" s="21">
        <v>104.86</v>
      </c>
      <c r="E203" s="12">
        <f>(Table1012[[#This Row],[Unit Price]]-Table1012[[#This Row],[Unit Cost]])*Table1012[[#This Row],[Units Sold]]</f>
        <v>-1378.5</v>
      </c>
    </row>
    <row r="204" spans="1:5" ht="15" hidden="1" thickBot="1">
      <c r="A204" s="25" t="s">
        <v>17</v>
      </c>
      <c r="B204" s="12">
        <v>312</v>
      </c>
      <c r="C204" s="12">
        <v>78.75</v>
      </c>
      <c r="D204" s="12">
        <v>218.52</v>
      </c>
      <c r="E204" s="12">
        <f>(Table1012[[#This Row],[Unit Price]]-Table1012[[#This Row],[Unit Cost]])*Table1012[[#This Row],[Units Sold]]</f>
        <v>-43608.240000000005</v>
      </c>
    </row>
    <row r="205" spans="1:5" ht="15" hidden="1" thickBot="1">
      <c r="A205" s="24" t="s">
        <v>11</v>
      </c>
      <c r="B205" s="21">
        <v>473</v>
      </c>
      <c r="C205" s="21">
        <v>265.68</v>
      </c>
      <c r="D205" s="21">
        <v>255.16</v>
      </c>
      <c r="E205" s="12">
        <f>(Table1012[[#This Row],[Unit Price]]-Table1012[[#This Row],[Unit Cost]])*Table1012[[#This Row],[Units Sold]]</f>
        <v>4975.9600000000046</v>
      </c>
    </row>
    <row r="206" spans="1:5" ht="15" thickBot="1">
      <c r="A206" s="25" t="s">
        <v>22</v>
      </c>
      <c r="B206" s="12">
        <v>366</v>
      </c>
      <c r="C206" s="12">
        <v>126.8</v>
      </c>
      <c r="D206" s="12">
        <v>89.98</v>
      </c>
      <c r="E206" s="12">
        <f>(Table1012[[#This Row],[Unit Price]]-Table1012[[#This Row],[Unit Cost]])*Table1012[[#This Row],[Units Sold]]</f>
        <v>13476.119999999997</v>
      </c>
    </row>
    <row r="207" spans="1:5" ht="15" hidden="1" thickBot="1">
      <c r="A207" s="24" t="s">
        <v>17</v>
      </c>
      <c r="B207" s="21">
        <v>452</v>
      </c>
      <c r="C207" s="21">
        <v>240.96</v>
      </c>
      <c r="D207" s="21">
        <v>391.4</v>
      </c>
      <c r="E207" s="12">
        <f>(Table1012[[#This Row],[Unit Price]]-Table1012[[#This Row],[Unit Cost]])*Table1012[[#This Row],[Units Sold]]</f>
        <v>-67998.87999999999</v>
      </c>
    </row>
    <row r="208" spans="1:5" ht="15" thickBot="1">
      <c r="A208" s="25" t="s">
        <v>22</v>
      </c>
      <c r="B208" s="12">
        <v>93</v>
      </c>
      <c r="C208" s="12">
        <v>200.21</v>
      </c>
      <c r="D208" s="12">
        <v>299.77999999999997</v>
      </c>
      <c r="E208" s="12">
        <f>(Table1012[[#This Row],[Unit Price]]-Table1012[[#This Row],[Unit Cost]])*Table1012[[#This Row],[Units Sold]]</f>
        <v>-9260.0099999999966</v>
      </c>
    </row>
    <row r="209" spans="1:5" ht="15" hidden="1" thickBot="1">
      <c r="A209" s="24" t="s">
        <v>17</v>
      </c>
      <c r="B209" s="21">
        <v>271</v>
      </c>
      <c r="C209" s="21">
        <v>276.95999999999998</v>
      </c>
      <c r="D209" s="21">
        <v>224.01</v>
      </c>
      <c r="E209" s="12">
        <f>(Table1012[[#This Row],[Unit Price]]-Table1012[[#This Row],[Unit Cost]])*Table1012[[#This Row],[Units Sold]]</f>
        <v>14349.449999999997</v>
      </c>
    </row>
    <row r="210" spans="1:5" ht="15" hidden="1" thickBot="1">
      <c r="A210" s="25" t="s">
        <v>17</v>
      </c>
      <c r="B210" s="12">
        <v>156</v>
      </c>
      <c r="C210" s="12">
        <v>374.7</v>
      </c>
      <c r="D210" s="12">
        <v>73.88</v>
      </c>
      <c r="E210" s="12">
        <f>(Table1012[[#This Row],[Unit Price]]-Table1012[[#This Row],[Unit Cost]])*Table1012[[#This Row],[Units Sold]]</f>
        <v>46927.92</v>
      </c>
    </row>
    <row r="211" spans="1:5" ht="15" hidden="1" thickBot="1">
      <c r="A211" s="24" t="s">
        <v>48</v>
      </c>
      <c r="B211" s="21">
        <v>450</v>
      </c>
      <c r="C211" s="21">
        <v>359.17</v>
      </c>
      <c r="D211" s="21">
        <v>23.44</v>
      </c>
      <c r="E211" s="12">
        <f>(Table1012[[#This Row],[Unit Price]]-Table1012[[#This Row],[Unit Cost]])*Table1012[[#This Row],[Units Sold]]</f>
        <v>151078.5</v>
      </c>
    </row>
    <row r="212" spans="1:5" ht="15" thickBot="1">
      <c r="A212" s="25" t="s">
        <v>22</v>
      </c>
      <c r="B212" s="12">
        <v>462</v>
      </c>
      <c r="C212" s="12">
        <v>263.01</v>
      </c>
      <c r="D212" s="12">
        <v>129.38</v>
      </c>
      <c r="E212" s="12">
        <f>(Table1012[[#This Row],[Unit Price]]-Table1012[[#This Row],[Unit Cost]])*Table1012[[#This Row],[Units Sold]]</f>
        <v>61737.06</v>
      </c>
    </row>
    <row r="213" spans="1:5" ht="15" hidden="1" thickBot="1">
      <c r="A213" s="24" t="s">
        <v>11</v>
      </c>
      <c r="B213" s="21">
        <v>396</v>
      </c>
      <c r="C213" s="21">
        <v>412.08</v>
      </c>
      <c r="D213" s="21">
        <v>301.77</v>
      </c>
      <c r="E213" s="12">
        <f>(Table1012[[#This Row],[Unit Price]]-Table1012[[#This Row],[Unit Cost]])*Table1012[[#This Row],[Units Sold]]</f>
        <v>43682.76</v>
      </c>
    </row>
    <row r="214" spans="1:5" ht="15" hidden="1" thickBot="1">
      <c r="A214" s="25" t="s">
        <v>11</v>
      </c>
      <c r="B214" s="12">
        <v>266</v>
      </c>
      <c r="C214" s="12">
        <v>218.28</v>
      </c>
      <c r="D214" s="12">
        <v>109.19</v>
      </c>
      <c r="E214" s="12">
        <f>(Table1012[[#This Row],[Unit Price]]-Table1012[[#This Row],[Unit Cost]])*Table1012[[#This Row],[Units Sold]]</f>
        <v>29017.940000000002</v>
      </c>
    </row>
    <row r="215" spans="1:5" ht="15" thickBot="1">
      <c r="A215" s="24" t="s">
        <v>22</v>
      </c>
      <c r="B215" s="21">
        <v>67</v>
      </c>
      <c r="C215" s="21">
        <v>448.87</v>
      </c>
      <c r="D215" s="21">
        <v>216.74</v>
      </c>
      <c r="E215" s="12">
        <f>(Table1012[[#This Row],[Unit Price]]-Table1012[[#This Row],[Unit Cost]])*Table1012[[#This Row],[Units Sold]]</f>
        <v>15552.71</v>
      </c>
    </row>
    <row r="216" spans="1:5" ht="15" hidden="1" thickBot="1">
      <c r="A216" s="25" t="s">
        <v>11</v>
      </c>
      <c r="B216" s="12">
        <v>389</v>
      </c>
      <c r="C216" s="12">
        <v>40.28</v>
      </c>
      <c r="D216" s="12">
        <v>291.72000000000003</v>
      </c>
      <c r="E216" s="12">
        <f>(Table1012[[#This Row],[Unit Price]]-Table1012[[#This Row],[Unit Cost]])*Table1012[[#This Row],[Units Sold]]</f>
        <v>-97810.16</v>
      </c>
    </row>
    <row r="217" spans="1:5" ht="15" hidden="1" thickBot="1">
      <c r="A217" s="24" t="s">
        <v>11</v>
      </c>
      <c r="B217" s="21">
        <v>431</v>
      </c>
      <c r="C217" s="21">
        <v>477.56</v>
      </c>
      <c r="D217" s="21">
        <v>44.96</v>
      </c>
      <c r="E217" s="12">
        <f>(Table1012[[#This Row],[Unit Price]]-Table1012[[#This Row],[Unit Cost]])*Table1012[[#This Row],[Units Sold]]</f>
        <v>186450.6</v>
      </c>
    </row>
    <row r="218" spans="1:5" ht="15" thickBot="1">
      <c r="A218" s="25" t="s">
        <v>22</v>
      </c>
      <c r="B218" s="12">
        <v>24</v>
      </c>
      <c r="C218" s="12">
        <v>329.07</v>
      </c>
      <c r="D218" s="12">
        <v>274.75</v>
      </c>
      <c r="E218" s="12">
        <f>(Table1012[[#This Row],[Unit Price]]-Table1012[[#This Row],[Unit Cost]])*Table1012[[#This Row],[Units Sold]]</f>
        <v>1303.6799999999998</v>
      </c>
    </row>
    <row r="219" spans="1:5" ht="15" hidden="1" thickBot="1">
      <c r="A219" s="24" t="s">
        <v>17</v>
      </c>
      <c r="B219" s="21">
        <v>171</v>
      </c>
      <c r="C219" s="21">
        <v>193.14</v>
      </c>
      <c r="D219" s="21">
        <v>38.56</v>
      </c>
      <c r="E219" s="12">
        <f>(Table1012[[#This Row],[Unit Price]]-Table1012[[#This Row],[Unit Cost]])*Table1012[[#This Row],[Units Sold]]</f>
        <v>26433.179999999997</v>
      </c>
    </row>
    <row r="220" spans="1:5" ht="15" thickBot="1">
      <c r="A220" s="25" t="s">
        <v>22</v>
      </c>
      <c r="B220" s="12">
        <v>454</v>
      </c>
      <c r="C220" s="12">
        <v>102.59</v>
      </c>
      <c r="D220" s="12">
        <v>386.12</v>
      </c>
      <c r="E220" s="12">
        <f>(Table1012[[#This Row],[Unit Price]]-Table1012[[#This Row],[Unit Cost]])*Table1012[[#This Row],[Units Sold]]</f>
        <v>-128722.61999999998</v>
      </c>
    </row>
    <row r="221" spans="1:5" ht="15" hidden="1" thickBot="1">
      <c r="A221" s="24" t="s">
        <v>17</v>
      </c>
      <c r="B221" s="21">
        <v>172</v>
      </c>
      <c r="C221" s="21">
        <v>242.2</v>
      </c>
      <c r="D221" s="21">
        <v>196.38</v>
      </c>
      <c r="E221" s="12">
        <f>(Table1012[[#This Row],[Unit Price]]-Table1012[[#This Row],[Unit Cost]])*Table1012[[#This Row],[Units Sold]]</f>
        <v>7881.0399999999991</v>
      </c>
    </row>
    <row r="222" spans="1:5" ht="15" hidden="1" thickBot="1">
      <c r="A222" s="25" t="s">
        <v>11</v>
      </c>
      <c r="B222" s="12">
        <v>329</v>
      </c>
      <c r="C222" s="12">
        <v>101.31</v>
      </c>
      <c r="D222" s="12">
        <v>61.97</v>
      </c>
      <c r="E222" s="12">
        <f>(Table1012[[#This Row],[Unit Price]]-Table1012[[#This Row],[Unit Cost]])*Table1012[[#This Row],[Units Sold]]</f>
        <v>12942.86</v>
      </c>
    </row>
    <row r="223" spans="1:5" ht="15" hidden="1" thickBot="1">
      <c r="A223" s="24" t="s">
        <v>11</v>
      </c>
      <c r="B223" s="21">
        <v>290</v>
      </c>
      <c r="C223" s="21">
        <v>87.33</v>
      </c>
      <c r="D223" s="21">
        <v>138.27000000000001</v>
      </c>
      <c r="E223" s="12">
        <f>(Table1012[[#This Row],[Unit Price]]-Table1012[[#This Row],[Unit Cost]])*Table1012[[#This Row],[Units Sold]]</f>
        <v>-14772.600000000004</v>
      </c>
    </row>
    <row r="224" spans="1:5" ht="15" hidden="1" thickBot="1">
      <c r="A224" s="25"/>
      <c r="B224" s="12">
        <v>289</v>
      </c>
      <c r="C224" s="12">
        <v>310.58999999999997</v>
      </c>
      <c r="D224" s="12">
        <v>166.54</v>
      </c>
      <c r="E224" s="12">
        <f>(Table1012[[#This Row],[Unit Price]]-Table1012[[#This Row],[Unit Cost]])*Table1012[[#This Row],[Units Sold]]</f>
        <v>41630.449999999997</v>
      </c>
    </row>
    <row r="225" spans="1:5" ht="15" hidden="1" thickBot="1">
      <c r="A225" s="24" t="s">
        <v>48</v>
      </c>
      <c r="B225" s="21">
        <v>21</v>
      </c>
      <c r="C225" s="21">
        <v>263.93</v>
      </c>
      <c r="D225" s="21">
        <v>303.76</v>
      </c>
      <c r="E225" s="12">
        <f>(Table1012[[#This Row],[Unit Price]]-Table1012[[#This Row],[Unit Cost]])*Table1012[[#This Row],[Units Sold]]</f>
        <v>-836.42999999999961</v>
      </c>
    </row>
    <row r="226" spans="1:5" ht="15" hidden="1" thickBot="1">
      <c r="A226" s="25" t="s">
        <v>17</v>
      </c>
      <c r="B226" s="12">
        <v>283</v>
      </c>
      <c r="C226" s="12">
        <v>336.7</v>
      </c>
      <c r="D226" s="12">
        <v>297.88</v>
      </c>
      <c r="E226" s="12">
        <f>(Table1012[[#This Row],[Unit Price]]-Table1012[[#This Row],[Unit Cost]])*Table1012[[#This Row],[Units Sold]]</f>
        <v>10986.059999999998</v>
      </c>
    </row>
    <row r="227" spans="1:5" ht="15" hidden="1" thickBot="1">
      <c r="A227" s="24" t="s">
        <v>48</v>
      </c>
      <c r="B227" s="21">
        <v>280</v>
      </c>
      <c r="C227" s="21">
        <v>465.15</v>
      </c>
      <c r="D227" s="21">
        <v>245.55</v>
      </c>
      <c r="E227" s="12">
        <f>(Table1012[[#This Row],[Unit Price]]-Table1012[[#This Row],[Unit Cost]])*Table1012[[#This Row],[Units Sold]]</f>
        <v>61487.999999999993</v>
      </c>
    </row>
    <row r="228" spans="1:5" ht="15" hidden="1" thickBot="1">
      <c r="A228" s="25" t="s">
        <v>48</v>
      </c>
      <c r="B228" s="12">
        <v>217</v>
      </c>
      <c r="C228" s="12">
        <v>268.47000000000003</v>
      </c>
      <c r="D228" s="12">
        <v>44.16</v>
      </c>
      <c r="E228" s="12">
        <f>(Table1012[[#This Row],[Unit Price]]-Table1012[[#This Row],[Unit Cost]])*Table1012[[#This Row],[Units Sold]]</f>
        <v>48675.270000000004</v>
      </c>
    </row>
    <row r="229" spans="1:5" ht="15" thickBot="1">
      <c r="A229" s="24" t="s">
        <v>22</v>
      </c>
      <c r="B229" s="21">
        <v>36</v>
      </c>
      <c r="C229" s="21">
        <v>292.56</v>
      </c>
      <c r="D229" s="21">
        <v>62.32</v>
      </c>
      <c r="E229" s="12">
        <f>(Table1012[[#This Row],[Unit Price]]-Table1012[[#This Row],[Unit Cost]])*Table1012[[#This Row],[Units Sold]]</f>
        <v>8288.64</v>
      </c>
    </row>
    <row r="230" spans="1:5" ht="15" hidden="1" thickBot="1">
      <c r="A230" s="25" t="s">
        <v>48</v>
      </c>
      <c r="B230" s="12"/>
      <c r="C230" s="12">
        <v>49.37</v>
      </c>
      <c r="D230" s="12">
        <v>39.32</v>
      </c>
      <c r="E230" s="12">
        <f>(Table1012[[#This Row],[Unit Price]]-Table1012[[#This Row],[Unit Cost]])*Table1012[[#This Row],[Units Sold]]</f>
        <v>0</v>
      </c>
    </row>
    <row r="231" spans="1:5" ht="15" thickBot="1">
      <c r="A231" s="24" t="s">
        <v>22</v>
      </c>
      <c r="B231" s="21">
        <v>69</v>
      </c>
      <c r="C231" s="21">
        <v>360.23</v>
      </c>
      <c r="D231" s="21">
        <v>231.71</v>
      </c>
      <c r="E231" s="12">
        <f>(Table1012[[#This Row],[Unit Price]]-Table1012[[#This Row],[Unit Cost]])*Table1012[[#This Row],[Units Sold]]</f>
        <v>8867.880000000001</v>
      </c>
    </row>
    <row r="232" spans="1:5" ht="15" thickBot="1">
      <c r="A232" s="25" t="s">
        <v>22</v>
      </c>
      <c r="B232" s="12">
        <v>439</v>
      </c>
      <c r="C232" s="12">
        <v>202.95</v>
      </c>
      <c r="D232" s="12">
        <v>351.1</v>
      </c>
      <c r="E232" s="12">
        <f>(Table1012[[#This Row],[Unit Price]]-Table1012[[#This Row],[Unit Cost]])*Table1012[[#This Row],[Units Sold]]</f>
        <v>-65037.850000000013</v>
      </c>
    </row>
    <row r="233" spans="1:5" ht="15" hidden="1" thickBot="1">
      <c r="A233" s="24" t="s">
        <v>48</v>
      </c>
      <c r="B233" s="21">
        <v>482</v>
      </c>
      <c r="C233" s="21">
        <v>488.48</v>
      </c>
      <c r="D233" s="21">
        <v>174.65</v>
      </c>
      <c r="E233" s="12">
        <f>(Table1012[[#This Row],[Unit Price]]-Table1012[[#This Row],[Unit Cost]])*Table1012[[#This Row],[Units Sold]]</f>
        <v>151266.06000000003</v>
      </c>
    </row>
    <row r="234" spans="1:5" ht="15" hidden="1" thickBot="1">
      <c r="A234" s="25" t="s">
        <v>17</v>
      </c>
      <c r="B234" s="12">
        <v>154</v>
      </c>
      <c r="C234" s="12">
        <v>412.47</v>
      </c>
      <c r="D234" s="12">
        <v>66.02</v>
      </c>
      <c r="E234" s="12">
        <f>(Table1012[[#This Row],[Unit Price]]-Table1012[[#This Row],[Unit Cost]])*Table1012[[#This Row],[Units Sold]]</f>
        <v>53353.30000000001</v>
      </c>
    </row>
    <row r="235" spans="1:5" ht="15" hidden="1" thickBot="1">
      <c r="A235" s="24" t="s">
        <v>17</v>
      </c>
      <c r="B235" s="21">
        <v>102</v>
      </c>
      <c r="C235" s="21">
        <v>263.63</v>
      </c>
      <c r="D235" s="21">
        <v>224.1</v>
      </c>
      <c r="E235" s="12">
        <f>(Table1012[[#This Row],[Unit Price]]-Table1012[[#This Row],[Unit Cost]])*Table1012[[#This Row],[Units Sold]]</f>
        <v>4032.06</v>
      </c>
    </row>
    <row r="236" spans="1:5" ht="15" hidden="1" thickBot="1">
      <c r="A236" s="25" t="s">
        <v>17</v>
      </c>
      <c r="B236" s="12">
        <v>318</v>
      </c>
      <c r="C236" s="12">
        <v>66</v>
      </c>
      <c r="D236" s="12">
        <v>325.08</v>
      </c>
      <c r="E236" s="12">
        <f>(Table1012[[#This Row],[Unit Price]]-Table1012[[#This Row],[Unit Cost]])*Table1012[[#This Row],[Units Sold]]</f>
        <v>-82387.439999999988</v>
      </c>
    </row>
    <row r="237" spans="1:5" ht="15" hidden="1" thickBot="1">
      <c r="A237" s="24" t="s">
        <v>17</v>
      </c>
      <c r="B237" s="21">
        <v>17</v>
      </c>
      <c r="C237" s="21">
        <v>430.41</v>
      </c>
      <c r="D237" s="21">
        <v>297.2</v>
      </c>
      <c r="E237" s="12">
        <f>(Table1012[[#This Row],[Unit Price]]-Table1012[[#This Row],[Unit Cost]])*Table1012[[#This Row],[Units Sold]]</f>
        <v>2264.5700000000006</v>
      </c>
    </row>
    <row r="238" spans="1:5" ht="15" hidden="1" thickBot="1">
      <c r="A238" s="25" t="s">
        <v>17</v>
      </c>
      <c r="B238" s="12">
        <v>88</v>
      </c>
      <c r="C238" s="12">
        <v>400.89</v>
      </c>
      <c r="D238" s="12">
        <v>352.82</v>
      </c>
      <c r="E238" s="12">
        <f>(Table1012[[#This Row],[Unit Price]]-Table1012[[#This Row],[Unit Cost]])*Table1012[[#This Row],[Units Sold]]</f>
        <v>4230.16</v>
      </c>
    </row>
    <row r="239" spans="1:5" ht="15" hidden="1" thickBot="1">
      <c r="A239" s="24" t="s">
        <v>48</v>
      </c>
      <c r="B239" s="21">
        <v>36</v>
      </c>
      <c r="C239" s="21">
        <v>96.37</v>
      </c>
      <c r="D239" s="21">
        <v>112.61</v>
      </c>
      <c r="E239" s="12">
        <f>(Table1012[[#This Row],[Unit Price]]-Table1012[[#This Row],[Unit Cost]])*Table1012[[#This Row],[Units Sold]]</f>
        <v>-584.63999999999987</v>
      </c>
    </row>
    <row r="240" spans="1:5" ht="15" hidden="1" thickBot="1">
      <c r="A240" s="25" t="s">
        <v>48</v>
      </c>
      <c r="B240" s="12">
        <v>183</v>
      </c>
      <c r="C240" s="12">
        <v>151.16</v>
      </c>
      <c r="D240" s="12">
        <v>79.19</v>
      </c>
      <c r="E240" s="12">
        <f>(Table1012[[#This Row],[Unit Price]]-Table1012[[#This Row],[Unit Cost]])*Table1012[[#This Row],[Units Sold]]</f>
        <v>13170.51</v>
      </c>
    </row>
    <row r="241" spans="1:5" ht="15" hidden="1" thickBot="1">
      <c r="A241" s="24" t="s">
        <v>11</v>
      </c>
      <c r="B241" s="21">
        <v>59</v>
      </c>
      <c r="C241" s="21">
        <v>397.74</v>
      </c>
      <c r="D241" s="21">
        <v>352.17</v>
      </c>
      <c r="E241" s="12">
        <f>(Table1012[[#This Row],[Unit Price]]-Table1012[[#This Row],[Unit Cost]])*Table1012[[#This Row],[Units Sold]]</f>
        <v>2688.6299999999997</v>
      </c>
    </row>
    <row r="242" spans="1:5" ht="15" hidden="1" thickBot="1">
      <c r="A242" s="25" t="s">
        <v>17</v>
      </c>
      <c r="B242" s="12">
        <v>208</v>
      </c>
      <c r="C242" s="12">
        <v>96.69</v>
      </c>
      <c r="D242" s="12">
        <v>263.70999999999998</v>
      </c>
      <c r="E242" s="12">
        <f>(Table1012[[#This Row],[Unit Price]]-Table1012[[#This Row],[Unit Cost]])*Table1012[[#This Row],[Units Sold]]</f>
        <v>-34740.159999999996</v>
      </c>
    </row>
    <row r="243" spans="1:5" ht="15" hidden="1" thickBot="1">
      <c r="A243" s="24" t="s">
        <v>48</v>
      </c>
      <c r="B243" s="21">
        <v>396</v>
      </c>
      <c r="C243" s="21">
        <v>459.29</v>
      </c>
      <c r="D243" s="21">
        <v>125.75</v>
      </c>
      <c r="E243" s="12">
        <f>(Table1012[[#This Row],[Unit Price]]-Table1012[[#This Row],[Unit Cost]])*Table1012[[#This Row],[Units Sold]]</f>
        <v>132081.84</v>
      </c>
    </row>
    <row r="244" spans="1:5" ht="15" hidden="1" thickBot="1">
      <c r="A244" s="25" t="s">
        <v>11</v>
      </c>
      <c r="B244" s="12">
        <v>358</v>
      </c>
      <c r="C244" s="12">
        <v>215.14</v>
      </c>
      <c r="D244" s="12">
        <v>297.45</v>
      </c>
      <c r="E244" s="12">
        <f>(Table1012[[#This Row],[Unit Price]]-Table1012[[#This Row],[Unit Cost]])*Table1012[[#This Row],[Units Sold]]</f>
        <v>-29466.98</v>
      </c>
    </row>
    <row r="245" spans="1:5" ht="15" hidden="1" thickBot="1">
      <c r="A245" s="24" t="s">
        <v>17</v>
      </c>
      <c r="B245" s="21">
        <v>457</v>
      </c>
      <c r="C245" s="21">
        <v>48.08</v>
      </c>
      <c r="D245" s="21">
        <v>326.42</v>
      </c>
      <c r="E245" s="12">
        <f>(Table1012[[#This Row],[Unit Price]]-Table1012[[#This Row],[Unit Cost]])*Table1012[[#This Row],[Units Sold]]</f>
        <v>-127201.38000000002</v>
      </c>
    </row>
    <row r="246" spans="1:5" ht="15" thickBot="1">
      <c r="A246" s="25" t="s">
        <v>22</v>
      </c>
      <c r="B246" s="12">
        <v>437</v>
      </c>
      <c r="C246" s="12">
        <v>408.8</v>
      </c>
      <c r="D246" s="12">
        <v>246.76</v>
      </c>
      <c r="E246" s="12">
        <f>(Table1012[[#This Row],[Unit Price]]-Table1012[[#This Row],[Unit Cost]])*Table1012[[#This Row],[Units Sold]]</f>
        <v>70811.48000000001</v>
      </c>
    </row>
    <row r="247" spans="1:5" ht="15" hidden="1" thickBot="1">
      <c r="A247" s="24" t="s">
        <v>11</v>
      </c>
      <c r="B247" s="21">
        <v>190</v>
      </c>
      <c r="C247" s="21">
        <v>189.89</v>
      </c>
      <c r="D247" s="21">
        <v>275.77999999999997</v>
      </c>
      <c r="E247" s="12">
        <f>(Table1012[[#This Row],[Unit Price]]-Table1012[[#This Row],[Unit Cost]])*Table1012[[#This Row],[Units Sold]]</f>
        <v>-16319.099999999997</v>
      </c>
    </row>
    <row r="248" spans="1:5" ht="15" hidden="1" thickBot="1">
      <c r="A248" s="25" t="s">
        <v>48</v>
      </c>
      <c r="B248" s="12">
        <v>33</v>
      </c>
      <c r="C248" s="12">
        <v>265.62</v>
      </c>
      <c r="D248" s="12">
        <v>151.35</v>
      </c>
      <c r="E248" s="12">
        <f>(Table1012[[#This Row],[Unit Price]]-Table1012[[#This Row],[Unit Cost]])*Table1012[[#This Row],[Units Sold]]</f>
        <v>3770.9100000000003</v>
      </c>
    </row>
    <row r="249" spans="1:5" ht="15" thickBot="1">
      <c r="A249" s="24" t="s">
        <v>22</v>
      </c>
      <c r="B249" s="21">
        <v>325</v>
      </c>
      <c r="C249" s="21">
        <v>60.59</v>
      </c>
      <c r="D249" s="21">
        <v>216.4</v>
      </c>
      <c r="E249" s="12">
        <f>(Table1012[[#This Row],[Unit Price]]-Table1012[[#This Row],[Unit Cost]])*Table1012[[#This Row],[Units Sold]]</f>
        <v>-50638.25</v>
      </c>
    </row>
    <row r="250" spans="1:5" ht="15" thickBot="1">
      <c r="A250" s="25" t="s">
        <v>22</v>
      </c>
      <c r="B250" s="12">
        <v>387</v>
      </c>
      <c r="C250" s="12">
        <v>6.28</v>
      </c>
      <c r="D250" s="12">
        <v>210.62</v>
      </c>
      <c r="E250" s="12">
        <f>(Table1012[[#This Row],[Unit Price]]-Table1012[[#This Row],[Unit Cost]])*Table1012[[#This Row],[Units Sold]]</f>
        <v>-79079.58</v>
      </c>
    </row>
    <row r="251" spans="1:5" ht="15" thickBot="1">
      <c r="A251" s="24" t="s">
        <v>22</v>
      </c>
      <c r="B251" s="21">
        <v>396</v>
      </c>
      <c r="C251" s="21">
        <v>320.8</v>
      </c>
      <c r="D251" s="21">
        <v>339.52</v>
      </c>
      <c r="E251" s="12">
        <f>(Table1012[[#This Row],[Unit Price]]-Table1012[[#This Row],[Unit Cost]])*Table1012[[#This Row],[Units Sold]]</f>
        <v>-7413.1199999999881</v>
      </c>
    </row>
    <row r="252" spans="1:5" ht="15" hidden="1" thickBot="1">
      <c r="A252" s="25" t="s">
        <v>11</v>
      </c>
      <c r="B252" s="12">
        <v>413</v>
      </c>
      <c r="C252" s="12">
        <v>260.01</v>
      </c>
      <c r="D252" s="12">
        <v>336.31</v>
      </c>
      <c r="E252" s="12">
        <f>(Table1012[[#This Row],[Unit Price]]-Table1012[[#This Row],[Unit Cost]])*Table1012[[#This Row],[Units Sold]]</f>
        <v>-31511.900000000005</v>
      </c>
    </row>
    <row r="253" spans="1:5" ht="15" hidden="1" thickBot="1">
      <c r="A253" s="24" t="s">
        <v>48</v>
      </c>
      <c r="B253" s="21"/>
      <c r="C253" s="21">
        <v>298.8</v>
      </c>
      <c r="D253" s="21">
        <v>333.41</v>
      </c>
      <c r="E253" s="12">
        <f>(Table1012[[#This Row],[Unit Price]]-Table1012[[#This Row],[Unit Cost]])*Table1012[[#This Row],[Units Sold]]</f>
        <v>0</v>
      </c>
    </row>
    <row r="254" spans="1:5" ht="15" thickBot="1">
      <c r="A254" s="25" t="s">
        <v>22</v>
      </c>
      <c r="B254" s="12">
        <v>24</v>
      </c>
      <c r="C254" s="12">
        <v>397.9</v>
      </c>
      <c r="D254" s="12">
        <v>6.39</v>
      </c>
      <c r="E254" s="12">
        <f>(Table1012[[#This Row],[Unit Price]]-Table1012[[#This Row],[Unit Cost]])*Table1012[[#This Row],[Units Sold]]</f>
        <v>9396.24</v>
      </c>
    </row>
    <row r="255" spans="1:5" ht="15" hidden="1" thickBot="1">
      <c r="A255" s="24" t="s">
        <v>17</v>
      </c>
      <c r="B255" s="21">
        <v>162</v>
      </c>
      <c r="C255" s="21">
        <v>325.07</v>
      </c>
      <c r="D255" s="21">
        <v>300.32</v>
      </c>
      <c r="E255" s="12">
        <f>(Table1012[[#This Row],[Unit Price]]-Table1012[[#This Row],[Unit Cost]])*Table1012[[#This Row],[Units Sold]]</f>
        <v>4009.5</v>
      </c>
    </row>
    <row r="256" spans="1:5" ht="15" thickBot="1">
      <c r="A256" s="25" t="s">
        <v>22</v>
      </c>
      <c r="B256" s="12">
        <v>231</v>
      </c>
      <c r="C256" s="12">
        <v>91.51</v>
      </c>
      <c r="D256" s="12">
        <v>303.95</v>
      </c>
      <c r="E256" s="12">
        <f>(Table1012[[#This Row],[Unit Price]]-Table1012[[#This Row],[Unit Cost]])*Table1012[[#This Row],[Units Sold]]</f>
        <v>-49073.64</v>
      </c>
    </row>
    <row r="257" spans="1:5" ht="15" thickBot="1">
      <c r="A257" s="24" t="s">
        <v>22</v>
      </c>
      <c r="B257" s="21">
        <v>215</v>
      </c>
      <c r="C257" s="21">
        <v>183.58</v>
      </c>
      <c r="D257" s="21">
        <v>271.99</v>
      </c>
      <c r="E257" s="12">
        <f>(Table1012[[#This Row],[Unit Price]]-Table1012[[#This Row],[Unit Cost]])*Table1012[[#This Row],[Units Sold]]</f>
        <v>-19008.149999999998</v>
      </c>
    </row>
    <row r="258" spans="1:5" ht="15" hidden="1" thickBot="1">
      <c r="A258" s="25" t="s">
        <v>11</v>
      </c>
      <c r="B258" s="12">
        <v>464</v>
      </c>
      <c r="C258" s="12">
        <v>453.42</v>
      </c>
      <c r="D258" s="12">
        <v>302.99</v>
      </c>
      <c r="E258" s="12">
        <f>(Table1012[[#This Row],[Unit Price]]-Table1012[[#This Row],[Unit Cost]])*Table1012[[#This Row],[Units Sold]]</f>
        <v>69799.520000000004</v>
      </c>
    </row>
    <row r="259" spans="1:5" ht="15" hidden="1" thickBot="1">
      <c r="A259" s="24" t="s">
        <v>11</v>
      </c>
      <c r="B259" s="21">
        <v>282</v>
      </c>
      <c r="C259" s="21"/>
      <c r="D259" s="21">
        <v>337.1</v>
      </c>
      <c r="E259" s="12">
        <f>(Table1012[[#This Row],[Unit Price]]-Table1012[[#This Row],[Unit Cost]])*Table1012[[#This Row],[Units Sold]]</f>
        <v>-95062.200000000012</v>
      </c>
    </row>
    <row r="260" spans="1:5" ht="15" hidden="1" thickBot="1">
      <c r="A260" s="25" t="s">
        <v>48</v>
      </c>
      <c r="B260" s="12">
        <v>391</v>
      </c>
      <c r="C260" s="12">
        <v>280.54000000000002</v>
      </c>
      <c r="D260" s="12">
        <v>189.19</v>
      </c>
      <c r="E260" s="12">
        <f>(Table1012[[#This Row],[Unit Price]]-Table1012[[#This Row],[Unit Cost]])*Table1012[[#This Row],[Units Sold]]</f>
        <v>35717.850000000006</v>
      </c>
    </row>
    <row r="261" spans="1:5" ht="15" hidden="1" thickBot="1">
      <c r="A261" s="24" t="s">
        <v>17</v>
      </c>
      <c r="B261" s="21">
        <v>245</v>
      </c>
      <c r="C261" s="21">
        <v>131.54</v>
      </c>
      <c r="D261" s="21">
        <v>201.82</v>
      </c>
      <c r="E261" s="12">
        <f>(Table1012[[#This Row],[Unit Price]]-Table1012[[#This Row],[Unit Cost]])*Table1012[[#This Row],[Units Sold]]</f>
        <v>-17218.599999999999</v>
      </c>
    </row>
    <row r="262" spans="1:5" ht="15" hidden="1" thickBot="1">
      <c r="A262" s="25" t="s">
        <v>11</v>
      </c>
      <c r="B262" s="12">
        <v>349</v>
      </c>
      <c r="C262" s="12">
        <v>154.52000000000001</v>
      </c>
      <c r="D262" s="12">
        <v>51.64</v>
      </c>
      <c r="E262" s="12">
        <f>(Table1012[[#This Row],[Unit Price]]-Table1012[[#This Row],[Unit Cost]])*Table1012[[#This Row],[Units Sold]]</f>
        <v>35905.120000000003</v>
      </c>
    </row>
    <row r="263" spans="1:5" ht="15" thickBot="1">
      <c r="A263" s="24" t="s">
        <v>22</v>
      </c>
      <c r="B263" s="21">
        <v>237</v>
      </c>
      <c r="C263" s="21"/>
      <c r="D263" s="21">
        <v>155.38</v>
      </c>
      <c r="E263" s="12">
        <f>(Table1012[[#This Row],[Unit Price]]-Table1012[[#This Row],[Unit Cost]])*Table1012[[#This Row],[Units Sold]]</f>
        <v>-36825.06</v>
      </c>
    </row>
    <row r="264" spans="1:5" ht="15" hidden="1" thickBot="1">
      <c r="A264" s="25" t="s">
        <v>48</v>
      </c>
      <c r="B264" s="12">
        <v>18</v>
      </c>
      <c r="C264" s="12">
        <v>426.33</v>
      </c>
      <c r="D264" s="12">
        <v>258.06</v>
      </c>
      <c r="E264" s="12">
        <f>(Table1012[[#This Row],[Unit Price]]-Table1012[[#This Row],[Unit Cost]])*Table1012[[#This Row],[Units Sold]]</f>
        <v>3028.8599999999997</v>
      </c>
    </row>
    <row r="265" spans="1:5" ht="15" thickBot="1">
      <c r="A265" s="24" t="s">
        <v>22</v>
      </c>
      <c r="B265" s="21">
        <v>175</v>
      </c>
      <c r="C265" s="21">
        <v>337.36</v>
      </c>
      <c r="D265" s="21">
        <v>312.60000000000002</v>
      </c>
      <c r="E265" s="12">
        <f>(Table1012[[#This Row],[Unit Price]]-Table1012[[#This Row],[Unit Cost]])*Table1012[[#This Row],[Units Sold]]</f>
        <v>4332.9999999999982</v>
      </c>
    </row>
    <row r="266" spans="1:5" ht="15" thickBot="1">
      <c r="A266" s="25" t="s">
        <v>22</v>
      </c>
      <c r="B266" s="12">
        <v>441</v>
      </c>
      <c r="C266" s="12">
        <v>405.72</v>
      </c>
      <c r="D266" s="12">
        <v>88.45</v>
      </c>
      <c r="E266" s="12">
        <f>(Table1012[[#This Row],[Unit Price]]-Table1012[[#This Row],[Unit Cost]])*Table1012[[#This Row],[Units Sold]]</f>
        <v>139916.07</v>
      </c>
    </row>
    <row r="267" spans="1:5" ht="15" hidden="1" thickBot="1">
      <c r="A267" s="24" t="s">
        <v>11</v>
      </c>
      <c r="B267" s="21">
        <v>453</v>
      </c>
      <c r="C267" s="21">
        <v>384.49</v>
      </c>
      <c r="D267" s="21">
        <v>56.85</v>
      </c>
      <c r="E267" s="12">
        <f>(Table1012[[#This Row],[Unit Price]]-Table1012[[#This Row],[Unit Cost]])*Table1012[[#This Row],[Units Sold]]</f>
        <v>148420.91999999998</v>
      </c>
    </row>
    <row r="268" spans="1:5" ht="15" hidden="1" thickBot="1">
      <c r="A268" s="25" t="s">
        <v>48</v>
      </c>
      <c r="B268" s="12">
        <v>328</v>
      </c>
      <c r="C268" s="12">
        <v>79.099999999999994</v>
      </c>
      <c r="D268" s="12">
        <v>265.89</v>
      </c>
      <c r="E268" s="12">
        <f>(Table1012[[#This Row],[Unit Price]]-Table1012[[#This Row],[Unit Cost]])*Table1012[[#This Row],[Units Sold]]</f>
        <v>-61267.119999999995</v>
      </c>
    </row>
    <row r="269" spans="1:5" ht="15" hidden="1" thickBot="1">
      <c r="A269" s="24" t="s">
        <v>17</v>
      </c>
      <c r="B269" s="21">
        <v>223</v>
      </c>
      <c r="C269" s="21">
        <v>214.85</v>
      </c>
      <c r="D269" s="21">
        <v>2.75</v>
      </c>
      <c r="E269" s="12">
        <f>(Table1012[[#This Row],[Unit Price]]-Table1012[[#This Row],[Unit Cost]])*Table1012[[#This Row],[Units Sold]]</f>
        <v>47298.299999999996</v>
      </c>
    </row>
    <row r="270" spans="1:5" ht="15" hidden="1" thickBot="1">
      <c r="A270" s="25" t="s">
        <v>17</v>
      </c>
      <c r="B270" s="12">
        <v>126</v>
      </c>
      <c r="C270" s="12">
        <v>80.73</v>
      </c>
      <c r="D270" s="12">
        <v>72.989999999999995</v>
      </c>
      <c r="E270" s="12">
        <f>(Table1012[[#This Row],[Unit Price]]-Table1012[[#This Row],[Unit Cost]])*Table1012[[#This Row],[Units Sold]]</f>
        <v>975.24000000000115</v>
      </c>
    </row>
    <row r="271" spans="1:5" ht="15" hidden="1" thickBot="1">
      <c r="A271" s="24" t="s">
        <v>11</v>
      </c>
      <c r="B271" s="21">
        <v>395</v>
      </c>
      <c r="C271" s="21">
        <v>121.44</v>
      </c>
      <c r="D271" s="21">
        <v>13.57</v>
      </c>
      <c r="E271" s="12">
        <f>(Table1012[[#This Row],[Unit Price]]-Table1012[[#This Row],[Unit Cost]])*Table1012[[#This Row],[Units Sold]]</f>
        <v>42608.65</v>
      </c>
    </row>
    <row r="272" spans="1:5" ht="15" hidden="1" thickBot="1">
      <c r="A272" s="25" t="s">
        <v>11</v>
      </c>
      <c r="B272" s="12">
        <v>353</v>
      </c>
      <c r="C272" s="12">
        <v>435.28</v>
      </c>
      <c r="D272" s="12">
        <v>68.42</v>
      </c>
      <c r="E272" s="12">
        <f>(Table1012[[#This Row],[Unit Price]]-Table1012[[#This Row],[Unit Cost]])*Table1012[[#This Row],[Units Sold]]</f>
        <v>129501.57999999999</v>
      </c>
    </row>
    <row r="273" spans="1:5" ht="15" hidden="1" thickBot="1">
      <c r="A273" s="24" t="s">
        <v>48</v>
      </c>
      <c r="B273" s="21">
        <v>81</v>
      </c>
      <c r="C273" s="21">
        <v>239.08</v>
      </c>
      <c r="D273" s="21">
        <v>74.17</v>
      </c>
      <c r="E273" s="12">
        <f>(Table1012[[#This Row],[Unit Price]]-Table1012[[#This Row],[Unit Cost]])*Table1012[[#This Row],[Units Sold]]</f>
        <v>13357.710000000003</v>
      </c>
    </row>
    <row r="274" spans="1:5" ht="15" hidden="1" thickBot="1">
      <c r="A274" s="25" t="s">
        <v>17</v>
      </c>
      <c r="B274" s="12">
        <v>404</v>
      </c>
      <c r="C274" s="12">
        <v>270</v>
      </c>
      <c r="D274" s="12">
        <v>156.29</v>
      </c>
      <c r="E274" s="12">
        <f>(Table1012[[#This Row],[Unit Price]]-Table1012[[#This Row],[Unit Cost]])*Table1012[[#This Row],[Units Sold]]</f>
        <v>45938.840000000004</v>
      </c>
    </row>
    <row r="275" spans="1:5" ht="15" hidden="1" thickBot="1">
      <c r="A275" s="24" t="s">
        <v>17</v>
      </c>
      <c r="B275" s="21">
        <v>73</v>
      </c>
      <c r="C275" s="21">
        <v>93.33</v>
      </c>
      <c r="D275" s="21">
        <v>162.13</v>
      </c>
      <c r="E275" s="12">
        <f>(Table1012[[#This Row],[Unit Price]]-Table1012[[#This Row],[Unit Cost]])*Table1012[[#This Row],[Units Sold]]</f>
        <v>-5022.3999999999996</v>
      </c>
    </row>
    <row r="276" spans="1:5" ht="15" hidden="1" thickBot="1">
      <c r="A276" s="25" t="s">
        <v>17</v>
      </c>
      <c r="B276" s="12">
        <v>214</v>
      </c>
      <c r="C276" s="12">
        <v>159.57</v>
      </c>
      <c r="D276" s="12">
        <v>349.96</v>
      </c>
      <c r="E276" s="12">
        <f>(Table1012[[#This Row],[Unit Price]]-Table1012[[#This Row],[Unit Cost]])*Table1012[[#This Row],[Units Sold]]</f>
        <v>-40743.46</v>
      </c>
    </row>
    <row r="277" spans="1:5" ht="15" thickBot="1">
      <c r="A277" s="24" t="s">
        <v>22</v>
      </c>
      <c r="B277" s="21">
        <v>218</v>
      </c>
      <c r="C277" s="21">
        <v>118.97</v>
      </c>
      <c r="D277" s="21">
        <v>205.02</v>
      </c>
      <c r="E277" s="12">
        <f>(Table1012[[#This Row],[Unit Price]]-Table1012[[#This Row],[Unit Cost]])*Table1012[[#This Row],[Units Sold]]</f>
        <v>-18758.900000000001</v>
      </c>
    </row>
    <row r="278" spans="1:5" ht="15" hidden="1" thickBot="1">
      <c r="A278" s="25" t="s">
        <v>17</v>
      </c>
      <c r="B278" s="12">
        <v>81</v>
      </c>
      <c r="C278" s="12">
        <v>107.06</v>
      </c>
      <c r="D278" s="12">
        <v>289.92</v>
      </c>
      <c r="E278" s="12">
        <f>(Table1012[[#This Row],[Unit Price]]-Table1012[[#This Row],[Unit Cost]])*Table1012[[#This Row],[Units Sold]]</f>
        <v>-14811.660000000002</v>
      </c>
    </row>
    <row r="279" spans="1:5" ht="15" thickBot="1">
      <c r="A279" s="24" t="s">
        <v>22</v>
      </c>
      <c r="B279" s="21">
        <v>286</v>
      </c>
      <c r="C279" s="21">
        <v>320.79000000000002</v>
      </c>
      <c r="D279" s="21">
        <v>43.45</v>
      </c>
      <c r="E279" s="12">
        <f>(Table1012[[#This Row],[Unit Price]]-Table1012[[#This Row],[Unit Cost]])*Table1012[[#This Row],[Units Sold]]</f>
        <v>79319.240000000005</v>
      </c>
    </row>
    <row r="280" spans="1:5" ht="15" hidden="1" thickBot="1">
      <c r="A280" s="25" t="s">
        <v>48</v>
      </c>
      <c r="B280" s="12">
        <v>283</v>
      </c>
      <c r="C280" s="12">
        <v>132.16</v>
      </c>
      <c r="D280" s="12">
        <v>91.72</v>
      </c>
      <c r="E280" s="12">
        <f>(Table1012[[#This Row],[Unit Price]]-Table1012[[#This Row],[Unit Cost]])*Table1012[[#This Row],[Units Sold]]</f>
        <v>11444.519999999999</v>
      </c>
    </row>
    <row r="281" spans="1:5" ht="15" thickBot="1">
      <c r="A281" s="24" t="s">
        <v>22</v>
      </c>
      <c r="B281" s="21">
        <v>487</v>
      </c>
      <c r="C281" s="21">
        <v>317.85000000000002</v>
      </c>
      <c r="D281" s="21">
        <v>281.77</v>
      </c>
      <c r="E281" s="12">
        <f>(Table1012[[#This Row],[Unit Price]]-Table1012[[#This Row],[Unit Cost]])*Table1012[[#This Row],[Units Sold]]</f>
        <v>17570.960000000021</v>
      </c>
    </row>
    <row r="282" spans="1:5" ht="15" hidden="1" thickBot="1">
      <c r="A282" s="25" t="s">
        <v>48</v>
      </c>
      <c r="B282" s="12">
        <v>329</v>
      </c>
      <c r="C282" s="12">
        <v>33.94</v>
      </c>
      <c r="D282" s="12">
        <v>23.02</v>
      </c>
      <c r="E282" s="12">
        <f>(Table1012[[#This Row],[Unit Price]]-Table1012[[#This Row],[Unit Cost]])*Table1012[[#This Row],[Units Sold]]</f>
        <v>3592.6799999999994</v>
      </c>
    </row>
    <row r="283" spans="1:5" ht="15" hidden="1" thickBot="1">
      <c r="A283" s="24" t="s">
        <v>17</v>
      </c>
      <c r="B283" s="21">
        <v>347</v>
      </c>
      <c r="C283" s="21">
        <v>75.180000000000007</v>
      </c>
      <c r="D283" s="21">
        <v>195.67</v>
      </c>
      <c r="E283" s="12">
        <f>(Table1012[[#This Row],[Unit Price]]-Table1012[[#This Row],[Unit Cost]])*Table1012[[#This Row],[Units Sold]]</f>
        <v>-41810.029999999992</v>
      </c>
    </row>
    <row r="284" spans="1:5" ht="15" hidden="1" thickBot="1">
      <c r="A284" s="25" t="s">
        <v>17</v>
      </c>
      <c r="B284" s="12">
        <v>375</v>
      </c>
      <c r="C284" s="12">
        <v>140.9</v>
      </c>
      <c r="D284" s="12">
        <v>240.55</v>
      </c>
      <c r="E284" s="12">
        <f>(Table1012[[#This Row],[Unit Price]]-Table1012[[#This Row],[Unit Cost]])*Table1012[[#This Row],[Units Sold]]</f>
        <v>-37368.75</v>
      </c>
    </row>
    <row r="285" spans="1:5" ht="15" hidden="1" thickBot="1">
      <c r="A285" s="24" t="s">
        <v>48</v>
      </c>
      <c r="B285" s="21">
        <v>104</v>
      </c>
      <c r="C285" s="21">
        <v>300.54000000000002</v>
      </c>
      <c r="D285" s="21">
        <v>241.65</v>
      </c>
      <c r="E285" s="12">
        <f>(Table1012[[#This Row],[Unit Price]]-Table1012[[#This Row],[Unit Cost]])*Table1012[[#This Row],[Units Sold]]</f>
        <v>6124.5600000000013</v>
      </c>
    </row>
    <row r="286" spans="1:5" ht="15" hidden="1" thickBot="1">
      <c r="A286" s="25" t="s">
        <v>11</v>
      </c>
      <c r="B286" s="12">
        <v>175</v>
      </c>
      <c r="C286" s="12">
        <v>339.54</v>
      </c>
      <c r="D286" s="12">
        <v>11.13</v>
      </c>
      <c r="E286" s="12">
        <f>(Table1012[[#This Row],[Unit Price]]-Table1012[[#This Row],[Unit Cost]])*Table1012[[#This Row],[Units Sold]]</f>
        <v>57471.750000000007</v>
      </c>
    </row>
    <row r="287" spans="1:5" ht="15" hidden="1" thickBot="1">
      <c r="A287" s="24" t="s">
        <v>48</v>
      </c>
      <c r="B287" s="21">
        <v>41</v>
      </c>
      <c r="C287" s="21">
        <v>224.14</v>
      </c>
      <c r="D287" s="21">
        <v>130.19999999999999</v>
      </c>
      <c r="E287" s="12">
        <f>(Table1012[[#This Row],[Unit Price]]-Table1012[[#This Row],[Unit Cost]])*Table1012[[#This Row],[Units Sold]]</f>
        <v>3851.54</v>
      </c>
    </row>
    <row r="288" spans="1:5" ht="15" hidden="1" thickBot="1">
      <c r="A288" s="25" t="s">
        <v>11</v>
      </c>
      <c r="B288" s="12">
        <v>20</v>
      </c>
      <c r="C288" s="12">
        <v>225.67</v>
      </c>
      <c r="D288" s="12">
        <v>255.32</v>
      </c>
      <c r="E288" s="12">
        <f>(Table1012[[#This Row],[Unit Price]]-Table1012[[#This Row],[Unit Cost]])*Table1012[[#This Row],[Units Sold]]</f>
        <v>-593.00000000000011</v>
      </c>
    </row>
    <row r="289" spans="1:5" ht="15" thickBot="1">
      <c r="A289" s="24" t="s">
        <v>22</v>
      </c>
      <c r="B289" s="21">
        <v>310</v>
      </c>
      <c r="C289" s="21">
        <v>363.64</v>
      </c>
      <c r="D289" s="21">
        <v>61.3</v>
      </c>
      <c r="E289" s="12">
        <f>(Table1012[[#This Row],[Unit Price]]-Table1012[[#This Row],[Unit Cost]])*Table1012[[#This Row],[Units Sold]]</f>
        <v>93725.4</v>
      </c>
    </row>
    <row r="290" spans="1:5" ht="15" thickBot="1">
      <c r="A290" s="25" t="s">
        <v>22</v>
      </c>
      <c r="B290" s="12">
        <v>226</v>
      </c>
      <c r="C290" s="12"/>
      <c r="D290" s="12">
        <v>278.77999999999997</v>
      </c>
      <c r="E290" s="12">
        <f>(Table1012[[#This Row],[Unit Price]]-Table1012[[#This Row],[Unit Cost]])*Table1012[[#This Row],[Units Sold]]</f>
        <v>-63004.279999999992</v>
      </c>
    </row>
    <row r="291" spans="1:5" ht="15" thickBot="1">
      <c r="A291" s="24" t="s">
        <v>22</v>
      </c>
      <c r="B291" s="21"/>
      <c r="C291" s="21">
        <v>173.84</v>
      </c>
      <c r="D291" s="21">
        <v>298.88</v>
      </c>
      <c r="E291" s="12">
        <f>(Table1012[[#This Row],[Unit Price]]-Table1012[[#This Row],[Unit Cost]])*Table1012[[#This Row],[Units Sold]]</f>
        <v>0</v>
      </c>
    </row>
    <row r="292" spans="1:5" ht="15" hidden="1" thickBot="1">
      <c r="A292" s="25" t="s">
        <v>17</v>
      </c>
      <c r="B292" s="12">
        <v>111</v>
      </c>
      <c r="C292" s="12">
        <v>410.26</v>
      </c>
      <c r="D292" s="12">
        <v>392.82</v>
      </c>
      <c r="E292" s="12">
        <f>(Table1012[[#This Row],[Unit Price]]-Table1012[[#This Row],[Unit Cost]])*Table1012[[#This Row],[Units Sold]]</f>
        <v>1935.8399999999997</v>
      </c>
    </row>
    <row r="293" spans="1:5" ht="15" thickBot="1">
      <c r="A293" s="24" t="s">
        <v>22</v>
      </c>
      <c r="B293" s="21">
        <v>434</v>
      </c>
      <c r="C293" s="21">
        <v>303.58999999999997</v>
      </c>
      <c r="D293" s="21">
        <v>85.52</v>
      </c>
      <c r="E293" s="12">
        <f>(Table1012[[#This Row],[Unit Price]]-Table1012[[#This Row],[Unit Cost]])*Table1012[[#This Row],[Units Sold]]</f>
        <v>94642.37999999999</v>
      </c>
    </row>
    <row r="294" spans="1:5" ht="15" hidden="1" thickBot="1">
      <c r="A294" s="25" t="s">
        <v>11</v>
      </c>
      <c r="B294" s="12">
        <v>401</v>
      </c>
      <c r="C294" s="12">
        <v>171.93</v>
      </c>
      <c r="D294" s="12">
        <v>330.4</v>
      </c>
      <c r="E294" s="12">
        <f>(Table1012[[#This Row],[Unit Price]]-Table1012[[#This Row],[Unit Cost]])*Table1012[[#This Row],[Units Sold]]</f>
        <v>-63546.469999999987</v>
      </c>
    </row>
    <row r="295" spans="1:5" ht="15" thickBot="1">
      <c r="A295" s="24" t="s">
        <v>22</v>
      </c>
      <c r="B295" s="21">
        <v>276</v>
      </c>
      <c r="C295" s="21">
        <v>453.23</v>
      </c>
      <c r="D295" s="21">
        <v>209.08</v>
      </c>
      <c r="E295" s="12">
        <f>(Table1012[[#This Row],[Unit Price]]-Table1012[[#This Row],[Unit Cost]])*Table1012[[#This Row],[Units Sold]]</f>
        <v>67385.400000000009</v>
      </c>
    </row>
    <row r="296" spans="1:5" ht="15" hidden="1" thickBot="1">
      <c r="A296" s="25" t="s">
        <v>48</v>
      </c>
      <c r="B296" s="12"/>
      <c r="C296" s="12">
        <v>387.45</v>
      </c>
      <c r="D296" s="12">
        <v>150.63999999999999</v>
      </c>
      <c r="E296" s="12">
        <f>(Table1012[[#This Row],[Unit Price]]-Table1012[[#This Row],[Unit Cost]])*Table1012[[#This Row],[Units Sold]]</f>
        <v>0</v>
      </c>
    </row>
    <row r="297" spans="1:5" ht="15" hidden="1" thickBot="1">
      <c r="A297" s="24" t="s">
        <v>48</v>
      </c>
      <c r="B297" s="21">
        <v>188</v>
      </c>
      <c r="C297" s="21">
        <v>136.12</v>
      </c>
      <c r="D297" s="21">
        <v>50.71</v>
      </c>
      <c r="E297" s="12">
        <f>(Table1012[[#This Row],[Unit Price]]-Table1012[[#This Row],[Unit Cost]])*Table1012[[#This Row],[Units Sold]]</f>
        <v>16057.08</v>
      </c>
    </row>
    <row r="298" spans="1:5" ht="15" hidden="1" thickBot="1">
      <c r="A298" s="25" t="s">
        <v>17</v>
      </c>
      <c r="B298" s="12">
        <v>97</v>
      </c>
      <c r="C298" s="12">
        <v>324.42</v>
      </c>
      <c r="D298" s="12">
        <v>294.73</v>
      </c>
      <c r="E298" s="12">
        <f>(Table1012[[#This Row],[Unit Price]]-Table1012[[#This Row],[Unit Cost]])*Table1012[[#This Row],[Units Sold]]</f>
        <v>2879.93</v>
      </c>
    </row>
    <row r="299" spans="1:5" ht="15" hidden="1" thickBot="1">
      <c r="A299" s="24" t="s">
        <v>48</v>
      </c>
      <c r="B299" s="21">
        <v>50</v>
      </c>
      <c r="C299" s="21">
        <v>299.89999999999998</v>
      </c>
      <c r="D299" s="21">
        <v>95.87</v>
      </c>
      <c r="E299" s="12">
        <f>(Table1012[[#This Row],[Unit Price]]-Table1012[[#This Row],[Unit Cost]])*Table1012[[#This Row],[Units Sold]]</f>
        <v>10201.499999999998</v>
      </c>
    </row>
    <row r="300" spans="1:5" ht="15" hidden="1" thickBot="1">
      <c r="A300" s="25" t="s">
        <v>11</v>
      </c>
      <c r="B300" s="12">
        <v>410</v>
      </c>
      <c r="C300" s="12">
        <v>203.59</v>
      </c>
      <c r="D300" s="12">
        <v>149.83000000000001</v>
      </c>
      <c r="E300" s="12">
        <f>(Table1012[[#This Row],[Unit Price]]-Table1012[[#This Row],[Unit Cost]])*Table1012[[#This Row],[Units Sold]]</f>
        <v>22041.599999999995</v>
      </c>
    </row>
    <row r="301" spans="1:5" ht="15" thickBot="1">
      <c r="A301" s="24" t="s">
        <v>22</v>
      </c>
      <c r="B301" s="21">
        <v>85</v>
      </c>
      <c r="C301" s="21">
        <v>186.64</v>
      </c>
      <c r="D301" s="21">
        <v>26.89</v>
      </c>
      <c r="E301" s="12">
        <f>(Table1012[[#This Row],[Unit Price]]-Table1012[[#This Row],[Unit Cost]])*Table1012[[#This Row],[Units Sold]]</f>
        <v>13578.75</v>
      </c>
    </row>
    <row r="302" spans="1:5" ht="15" hidden="1" thickBot="1">
      <c r="A302" s="25" t="s">
        <v>17</v>
      </c>
      <c r="B302" s="12">
        <v>386</v>
      </c>
      <c r="C302" s="12">
        <v>175.06</v>
      </c>
      <c r="D302" s="12">
        <v>320.94</v>
      </c>
      <c r="E302" s="12">
        <f>(Table1012[[#This Row],[Unit Price]]-Table1012[[#This Row],[Unit Cost]])*Table1012[[#This Row],[Units Sold]]</f>
        <v>-56309.68</v>
      </c>
    </row>
    <row r="303" spans="1:5" ht="15" thickBot="1">
      <c r="A303" s="24" t="s">
        <v>22</v>
      </c>
      <c r="B303" s="21">
        <v>55</v>
      </c>
      <c r="C303" s="21">
        <v>310.49</v>
      </c>
      <c r="D303" s="21">
        <v>307.10000000000002</v>
      </c>
      <c r="E303" s="12">
        <f>(Table1012[[#This Row],[Unit Price]]-Table1012[[#This Row],[Unit Cost]])*Table1012[[#This Row],[Units Sold]]</f>
        <v>186.44999999999925</v>
      </c>
    </row>
    <row r="304" spans="1:5" ht="15" thickBot="1">
      <c r="A304" s="25" t="s">
        <v>22</v>
      </c>
      <c r="B304" s="12">
        <v>169</v>
      </c>
      <c r="C304" s="12">
        <v>223.99</v>
      </c>
      <c r="D304" s="12">
        <v>293.98</v>
      </c>
      <c r="E304" s="12">
        <f>(Table1012[[#This Row],[Unit Price]]-Table1012[[#This Row],[Unit Cost]])*Table1012[[#This Row],[Units Sold]]</f>
        <v>-11828.310000000001</v>
      </c>
    </row>
    <row r="305" spans="1:5" ht="15" hidden="1" thickBot="1">
      <c r="A305" s="24" t="s">
        <v>11</v>
      </c>
      <c r="B305" s="21">
        <v>472</v>
      </c>
      <c r="C305" s="21">
        <v>416.77</v>
      </c>
      <c r="D305" s="21">
        <v>121.18</v>
      </c>
      <c r="E305" s="12">
        <f>(Table1012[[#This Row],[Unit Price]]-Table1012[[#This Row],[Unit Cost]])*Table1012[[#This Row],[Units Sold]]</f>
        <v>139518.47999999998</v>
      </c>
    </row>
    <row r="306" spans="1:5" ht="15" hidden="1" thickBot="1">
      <c r="A306" s="25" t="s">
        <v>48</v>
      </c>
      <c r="B306" s="12">
        <v>89</v>
      </c>
      <c r="C306" s="12">
        <v>336.45</v>
      </c>
      <c r="D306" s="12">
        <v>71.05</v>
      </c>
      <c r="E306" s="12">
        <f>(Table1012[[#This Row],[Unit Price]]-Table1012[[#This Row],[Unit Cost]])*Table1012[[#This Row],[Units Sold]]</f>
        <v>23620.6</v>
      </c>
    </row>
    <row r="307" spans="1:5" ht="15" hidden="1" thickBot="1">
      <c r="A307" s="24" t="s">
        <v>48</v>
      </c>
      <c r="B307" s="21">
        <v>319</v>
      </c>
      <c r="C307" s="21">
        <v>39.619999999999997</v>
      </c>
      <c r="D307" s="21">
        <v>255.75</v>
      </c>
      <c r="E307" s="12">
        <f>(Table1012[[#This Row],[Unit Price]]-Table1012[[#This Row],[Unit Cost]])*Table1012[[#This Row],[Units Sold]]</f>
        <v>-68945.47</v>
      </c>
    </row>
    <row r="308" spans="1:5" ht="15" thickBot="1">
      <c r="A308" s="25" t="s">
        <v>22</v>
      </c>
      <c r="B308" s="12">
        <v>95</v>
      </c>
      <c r="C308" s="12">
        <v>321.88</v>
      </c>
      <c r="D308" s="12">
        <v>199.47</v>
      </c>
      <c r="E308" s="12">
        <f>(Table1012[[#This Row],[Unit Price]]-Table1012[[#This Row],[Unit Cost]])*Table1012[[#This Row],[Units Sold]]</f>
        <v>11628.949999999999</v>
      </c>
    </row>
    <row r="309" spans="1:5" ht="15" hidden="1" thickBot="1">
      <c r="A309" s="24" t="s">
        <v>17</v>
      </c>
      <c r="B309" s="21">
        <v>101</v>
      </c>
      <c r="C309" s="21">
        <v>139.22</v>
      </c>
      <c r="D309" s="21">
        <v>72.94</v>
      </c>
      <c r="E309" s="12">
        <f>(Table1012[[#This Row],[Unit Price]]-Table1012[[#This Row],[Unit Cost]])*Table1012[[#This Row],[Units Sold]]</f>
        <v>6694.28</v>
      </c>
    </row>
    <row r="310" spans="1:5" ht="15" hidden="1" thickBot="1">
      <c r="A310" s="25" t="s">
        <v>48</v>
      </c>
      <c r="B310" s="12">
        <v>157</v>
      </c>
      <c r="C310" s="12"/>
      <c r="D310" s="12">
        <v>274.99</v>
      </c>
      <c r="E310" s="12">
        <f>(Table1012[[#This Row],[Unit Price]]-Table1012[[#This Row],[Unit Cost]])*Table1012[[#This Row],[Units Sold]]</f>
        <v>-43173.43</v>
      </c>
    </row>
    <row r="311" spans="1:5" ht="15" hidden="1" thickBot="1">
      <c r="A311" s="24" t="s">
        <v>17</v>
      </c>
      <c r="B311" s="21">
        <v>170</v>
      </c>
      <c r="C311" s="21">
        <v>341.67</v>
      </c>
      <c r="D311" s="21">
        <v>396.47</v>
      </c>
      <c r="E311" s="12">
        <f>(Table1012[[#This Row],[Unit Price]]-Table1012[[#This Row],[Unit Cost]])*Table1012[[#This Row],[Units Sold]]</f>
        <v>-9316.0000000000018</v>
      </c>
    </row>
    <row r="312" spans="1:5" ht="15" hidden="1" thickBot="1">
      <c r="A312" s="25" t="s">
        <v>48</v>
      </c>
      <c r="B312" s="12">
        <v>211</v>
      </c>
      <c r="C312" s="12">
        <v>119.26</v>
      </c>
      <c r="D312" s="12">
        <v>299.39</v>
      </c>
      <c r="E312" s="12">
        <f>(Table1012[[#This Row],[Unit Price]]-Table1012[[#This Row],[Unit Cost]])*Table1012[[#This Row],[Units Sold]]</f>
        <v>-38007.43</v>
      </c>
    </row>
    <row r="313" spans="1:5" ht="15" hidden="1" thickBot="1">
      <c r="A313" s="24" t="s">
        <v>17</v>
      </c>
      <c r="B313" s="21">
        <v>433</v>
      </c>
      <c r="C313" s="21">
        <v>231.15</v>
      </c>
      <c r="D313" s="21">
        <v>296.51</v>
      </c>
      <c r="E313" s="12">
        <f>(Table1012[[#This Row],[Unit Price]]-Table1012[[#This Row],[Unit Cost]])*Table1012[[#This Row],[Units Sold]]</f>
        <v>-28300.879999999994</v>
      </c>
    </row>
    <row r="314" spans="1:5" ht="15" hidden="1" thickBot="1">
      <c r="A314" s="25" t="s">
        <v>11</v>
      </c>
      <c r="B314" s="12">
        <v>425</v>
      </c>
      <c r="C314" s="12">
        <v>99.21</v>
      </c>
      <c r="D314" s="12">
        <v>380.22</v>
      </c>
      <c r="E314" s="12">
        <f>(Table1012[[#This Row],[Unit Price]]-Table1012[[#This Row],[Unit Cost]])*Table1012[[#This Row],[Units Sold]]</f>
        <v>-119429.25000000001</v>
      </c>
    </row>
    <row r="315" spans="1:5" ht="15" hidden="1" thickBot="1">
      <c r="A315" s="24" t="s">
        <v>17</v>
      </c>
      <c r="B315" s="21">
        <v>251</v>
      </c>
      <c r="C315" s="21">
        <v>30.91</v>
      </c>
      <c r="D315" s="21">
        <v>82.77</v>
      </c>
      <c r="E315" s="12">
        <f>(Table1012[[#This Row],[Unit Price]]-Table1012[[#This Row],[Unit Cost]])*Table1012[[#This Row],[Units Sold]]</f>
        <v>-13016.86</v>
      </c>
    </row>
    <row r="316" spans="1:5" ht="15" hidden="1" thickBot="1">
      <c r="A316" s="25" t="s">
        <v>11</v>
      </c>
      <c r="B316" s="12"/>
      <c r="C316" s="12">
        <v>192.35</v>
      </c>
      <c r="D316" s="12">
        <v>227.09</v>
      </c>
      <c r="E316" s="12">
        <f>(Table1012[[#This Row],[Unit Price]]-Table1012[[#This Row],[Unit Cost]])*Table1012[[#This Row],[Units Sold]]</f>
        <v>0</v>
      </c>
    </row>
    <row r="317" spans="1:5" ht="15" hidden="1" thickBot="1">
      <c r="A317" s="24" t="s">
        <v>11</v>
      </c>
      <c r="B317" s="21">
        <v>11</v>
      </c>
      <c r="C317" s="21">
        <v>184.66</v>
      </c>
      <c r="D317" s="21">
        <v>391.9</v>
      </c>
      <c r="E317" s="12">
        <f>(Table1012[[#This Row],[Unit Price]]-Table1012[[#This Row],[Unit Cost]])*Table1012[[#This Row],[Units Sold]]</f>
        <v>-2279.64</v>
      </c>
    </row>
    <row r="318" spans="1:5" ht="15" hidden="1" thickBot="1">
      <c r="A318" s="25" t="s">
        <v>17</v>
      </c>
      <c r="B318" s="12">
        <v>234</v>
      </c>
      <c r="C318" s="12">
        <v>497.76</v>
      </c>
      <c r="D318" s="12">
        <v>67.790000000000006</v>
      </c>
      <c r="E318" s="12">
        <f>(Table1012[[#This Row],[Unit Price]]-Table1012[[#This Row],[Unit Cost]])*Table1012[[#This Row],[Units Sold]]</f>
        <v>100612.98</v>
      </c>
    </row>
    <row r="319" spans="1:5" ht="15" hidden="1" thickBot="1">
      <c r="A319" s="24" t="s">
        <v>11</v>
      </c>
      <c r="B319" s="21"/>
      <c r="C319" s="21">
        <v>225.94</v>
      </c>
      <c r="D319" s="21">
        <v>280.7</v>
      </c>
      <c r="E319" s="12">
        <f>(Table1012[[#This Row],[Unit Price]]-Table1012[[#This Row],[Unit Cost]])*Table1012[[#This Row],[Units Sold]]</f>
        <v>0</v>
      </c>
    </row>
    <row r="320" spans="1:5" ht="15" thickBot="1">
      <c r="A320" s="25" t="s">
        <v>22</v>
      </c>
      <c r="B320" s="12">
        <v>242</v>
      </c>
      <c r="C320" s="12">
        <v>170.12</v>
      </c>
      <c r="D320" s="12">
        <v>235.15</v>
      </c>
      <c r="E320" s="12">
        <f>(Table1012[[#This Row],[Unit Price]]-Table1012[[#This Row],[Unit Cost]])*Table1012[[#This Row],[Units Sold]]</f>
        <v>-15737.26</v>
      </c>
    </row>
    <row r="321" spans="1:5" ht="15" hidden="1" thickBot="1">
      <c r="A321" s="24" t="s">
        <v>11</v>
      </c>
      <c r="B321" s="21">
        <v>470</v>
      </c>
      <c r="C321" s="21">
        <v>292.33999999999997</v>
      </c>
      <c r="D321" s="21">
        <v>235.42</v>
      </c>
      <c r="E321" s="12">
        <f>(Table1012[[#This Row],[Unit Price]]-Table1012[[#This Row],[Unit Cost]])*Table1012[[#This Row],[Units Sold]]</f>
        <v>26752.399999999994</v>
      </c>
    </row>
    <row r="322" spans="1:5" ht="15" hidden="1" thickBot="1">
      <c r="A322" s="25" t="s">
        <v>48</v>
      </c>
      <c r="B322" s="12">
        <v>423</v>
      </c>
      <c r="C322" s="12">
        <v>48.94</v>
      </c>
      <c r="D322" s="12">
        <v>279.67</v>
      </c>
      <c r="E322" s="12">
        <f>(Table1012[[#This Row],[Unit Price]]-Table1012[[#This Row],[Unit Cost]])*Table1012[[#This Row],[Units Sold]]</f>
        <v>-97598.790000000008</v>
      </c>
    </row>
    <row r="323" spans="1:5" ht="15" hidden="1" thickBot="1">
      <c r="A323" s="24" t="s">
        <v>17</v>
      </c>
      <c r="B323" s="21">
        <v>426</v>
      </c>
      <c r="C323" s="21">
        <v>481.02</v>
      </c>
      <c r="D323" s="21">
        <v>371.99</v>
      </c>
      <c r="E323" s="12">
        <f>(Table1012[[#This Row],[Unit Price]]-Table1012[[#This Row],[Unit Cost]])*Table1012[[#This Row],[Units Sold]]</f>
        <v>46446.779999999992</v>
      </c>
    </row>
    <row r="324" spans="1:5" ht="15" thickBot="1">
      <c r="A324" s="25" t="s">
        <v>22</v>
      </c>
      <c r="B324" s="12">
        <v>86</v>
      </c>
      <c r="C324" s="12">
        <v>319.31</v>
      </c>
      <c r="D324" s="12">
        <v>313.47000000000003</v>
      </c>
      <c r="E324" s="12">
        <f>(Table1012[[#This Row],[Unit Price]]-Table1012[[#This Row],[Unit Cost]])*Table1012[[#This Row],[Units Sold]]</f>
        <v>502.23999999999785</v>
      </c>
    </row>
    <row r="325" spans="1:5" ht="15" hidden="1" thickBot="1">
      <c r="A325" s="24" t="s">
        <v>17</v>
      </c>
      <c r="B325" s="21">
        <v>125</v>
      </c>
      <c r="C325" s="21">
        <v>378.64</v>
      </c>
      <c r="D325" s="21">
        <v>24.34</v>
      </c>
      <c r="E325" s="12">
        <f>(Table1012[[#This Row],[Unit Price]]-Table1012[[#This Row],[Unit Cost]])*Table1012[[#This Row],[Units Sold]]</f>
        <v>44287.5</v>
      </c>
    </row>
    <row r="326" spans="1:5" ht="15" hidden="1" thickBot="1">
      <c r="A326" s="25" t="s">
        <v>48</v>
      </c>
      <c r="B326" s="12">
        <v>163</v>
      </c>
      <c r="C326" s="12">
        <v>89.39</v>
      </c>
      <c r="D326" s="12">
        <v>341.39</v>
      </c>
      <c r="E326" s="12">
        <f>(Table1012[[#This Row],[Unit Price]]-Table1012[[#This Row],[Unit Cost]])*Table1012[[#This Row],[Units Sold]]</f>
        <v>-41076</v>
      </c>
    </row>
    <row r="327" spans="1:5" ht="15" hidden="1" thickBot="1">
      <c r="A327" s="24" t="s">
        <v>48</v>
      </c>
      <c r="B327" s="21">
        <v>415</v>
      </c>
      <c r="C327" s="21">
        <v>207.69</v>
      </c>
      <c r="D327" s="21">
        <v>91.77</v>
      </c>
      <c r="E327" s="12">
        <f>(Table1012[[#This Row],[Unit Price]]-Table1012[[#This Row],[Unit Cost]])*Table1012[[#This Row],[Units Sold]]</f>
        <v>48106.8</v>
      </c>
    </row>
    <row r="328" spans="1:5" ht="15" hidden="1" thickBot="1">
      <c r="A328" s="25" t="s">
        <v>48</v>
      </c>
      <c r="B328" s="12">
        <v>112</v>
      </c>
      <c r="C328" s="12">
        <v>214.23</v>
      </c>
      <c r="D328" s="12">
        <v>152.01</v>
      </c>
      <c r="E328" s="12">
        <f>(Table1012[[#This Row],[Unit Price]]-Table1012[[#This Row],[Unit Cost]])*Table1012[[#This Row],[Units Sold]]</f>
        <v>6968.6399999999994</v>
      </c>
    </row>
    <row r="329" spans="1:5" ht="15" hidden="1" thickBot="1">
      <c r="A329" s="24" t="s">
        <v>11</v>
      </c>
      <c r="B329" s="21">
        <v>203</v>
      </c>
      <c r="C329" s="21">
        <v>411.79</v>
      </c>
      <c r="D329" s="21">
        <v>185.77</v>
      </c>
      <c r="E329" s="12">
        <f>(Table1012[[#This Row],[Unit Price]]-Table1012[[#This Row],[Unit Cost]])*Table1012[[#This Row],[Units Sold]]</f>
        <v>45882.060000000005</v>
      </c>
    </row>
    <row r="330" spans="1:5" ht="15" hidden="1" thickBot="1">
      <c r="A330" s="25" t="s">
        <v>11</v>
      </c>
      <c r="B330" s="12"/>
      <c r="C330" s="12">
        <v>5.61</v>
      </c>
      <c r="D330" s="12">
        <v>193.4</v>
      </c>
      <c r="E330" s="12">
        <f>(Table1012[[#This Row],[Unit Price]]-Table1012[[#This Row],[Unit Cost]])*Table1012[[#This Row],[Units Sold]]</f>
        <v>0</v>
      </c>
    </row>
    <row r="331" spans="1:5" ht="15" hidden="1" thickBot="1">
      <c r="A331" s="24" t="s">
        <v>17</v>
      </c>
      <c r="B331" s="21">
        <v>368</v>
      </c>
      <c r="C331" s="21">
        <v>153.91999999999999</v>
      </c>
      <c r="D331" s="21">
        <v>175.2</v>
      </c>
      <c r="E331" s="12">
        <f>(Table1012[[#This Row],[Unit Price]]-Table1012[[#This Row],[Unit Cost]])*Table1012[[#This Row],[Units Sold]]</f>
        <v>-7831.0400000000009</v>
      </c>
    </row>
    <row r="332" spans="1:5" ht="15" hidden="1" thickBot="1">
      <c r="A332" s="25" t="s">
        <v>17</v>
      </c>
      <c r="B332" s="12">
        <v>99</v>
      </c>
      <c r="C332" s="12">
        <v>490.71</v>
      </c>
      <c r="D332" s="12">
        <v>375.07</v>
      </c>
      <c r="E332" s="12">
        <f>(Table1012[[#This Row],[Unit Price]]-Table1012[[#This Row],[Unit Cost]])*Table1012[[#This Row],[Units Sold]]</f>
        <v>11448.359999999999</v>
      </c>
    </row>
    <row r="333" spans="1:5" ht="15" thickBot="1">
      <c r="A333" s="24" t="s">
        <v>22</v>
      </c>
      <c r="B333" s="21">
        <v>183</v>
      </c>
      <c r="C333" s="21">
        <v>240.07</v>
      </c>
      <c r="D333" s="21">
        <v>283</v>
      </c>
      <c r="E333" s="12">
        <f>(Table1012[[#This Row],[Unit Price]]-Table1012[[#This Row],[Unit Cost]])*Table1012[[#This Row],[Units Sold]]</f>
        <v>-7856.1900000000014</v>
      </c>
    </row>
    <row r="334" spans="1:5" ht="15" hidden="1" thickBot="1">
      <c r="A334" s="25"/>
      <c r="B334" s="12">
        <v>131</v>
      </c>
      <c r="C334" s="12">
        <v>194.35</v>
      </c>
      <c r="D334" s="12">
        <v>253.21</v>
      </c>
      <c r="E334" s="12">
        <f>(Table1012[[#This Row],[Unit Price]]-Table1012[[#This Row],[Unit Cost]])*Table1012[[#This Row],[Units Sold]]</f>
        <v>-7710.6600000000017</v>
      </c>
    </row>
    <row r="335" spans="1:5" ht="15" hidden="1" thickBot="1">
      <c r="A335" s="24" t="s">
        <v>17</v>
      </c>
      <c r="B335" s="21">
        <v>152</v>
      </c>
      <c r="C335" s="21">
        <v>64.319999999999993</v>
      </c>
      <c r="D335" s="21">
        <v>21.84</v>
      </c>
      <c r="E335" s="12">
        <f>(Table1012[[#This Row],[Unit Price]]-Table1012[[#This Row],[Unit Cost]])*Table1012[[#This Row],[Units Sold]]</f>
        <v>6456.9599999999982</v>
      </c>
    </row>
    <row r="336" spans="1:5" ht="15" hidden="1" thickBot="1">
      <c r="A336" s="25" t="s">
        <v>11</v>
      </c>
      <c r="B336" s="12">
        <v>491</v>
      </c>
      <c r="C336" s="12">
        <v>487.21</v>
      </c>
      <c r="D336" s="12">
        <v>361.76</v>
      </c>
      <c r="E336" s="12">
        <f>(Table1012[[#This Row],[Unit Price]]-Table1012[[#This Row],[Unit Cost]])*Table1012[[#This Row],[Units Sold]]</f>
        <v>61595.95</v>
      </c>
    </row>
    <row r="337" spans="1:5" ht="15" hidden="1" thickBot="1">
      <c r="A337" s="24" t="s">
        <v>48</v>
      </c>
      <c r="B337" s="21">
        <v>115</v>
      </c>
      <c r="C337" s="21">
        <v>14.91</v>
      </c>
      <c r="D337" s="21">
        <v>363.94</v>
      </c>
      <c r="E337" s="12">
        <f>(Table1012[[#This Row],[Unit Price]]-Table1012[[#This Row],[Unit Cost]])*Table1012[[#This Row],[Units Sold]]</f>
        <v>-40138.449999999997</v>
      </c>
    </row>
    <row r="338" spans="1:5" ht="15" hidden="1" thickBot="1">
      <c r="A338" s="25" t="s">
        <v>17</v>
      </c>
      <c r="B338" s="12">
        <v>384</v>
      </c>
      <c r="C338" s="12">
        <v>369.9</v>
      </c>
      <c r="D338" s="12">
        <v>312.52</v>
      </c>
      <c r="E338" s="12">
        <f>(Table1012[[#This Row],[Unit Price]]-Table1012[[#This Row],[Unit Cost]])*Table1012[[#This Row],[Units Sold]]</f>
        <v>22033.919999999998</v>
      </c>
    </row>
    <row r="339" spans="1:5" ht="15" thickBot="1">
      <c r="A339" s="24" t="s">
        <v>22</v>
      </c>
      <c r="B339" s="21">
        <v>437</v>
      </c>
      <c r="C339" s="21">
        <v>385.46</v>
      </c>
      <c r="D339" s="21">
        <v>4.8</v>
      </c>
      <c r="E339" s="12">
        <f>(Table1012[[#This Row],[Unit Price]]-Table1012[[#This Row],[Unit Cost]])*Table1012[[#This Row],[Units Sold]]</f>
        <v>166348.41999999998</v>
      </c>
    </row>
    <row r="340" spans="1:5" ht="15" hidden="1" thickBot="1">
      <c r="A340" s="25" t="s">
        <v>11</v>
      </c>
      <c r="B340" s="12">
        <v>314</v>
      </c>
      <c r="C340" s="12">
        <v>125.61</v>
      </c>
      <c r="D340" s="12">
        <v>24.8</v>
      </c>
      <c r="E340" s="12">
        <f>(Table1012[[#This Row],[Unit Price]]-Table1012[[#This Row],[Unit Cost]])*Table1012[[#This Row],[Units Sold]]</f>
        <v>31654.34</v>
      </c>
    </row>
    <row r="341" spans="1:5" ht="15" hidden="1" thickBot="1">
      <c r="A341" s="24" t="s">
        <v>17</v>
      </c>
      <c r="B341" s="21">
        <v>369</v>
      </c>
      <c r="C341" s="21">
        <v>337.42</v>
      </c>
      <c r="D341" s="21">
        <v>91.64</v>
      </c>
      <c r="E341" s="12">
        <f>(Table1012[[#This Row],[Unit Price]]-Table1012[[#This Row],[Unit Cost]])*Table1012[[#This Row],[Units Sold]]</f>
        <v>90692.82</v>
      </c>
    </row>
    <row r="342" spans="1:5" ht="15" hidden="1" thickBot="1">
      <c r="A342" s="25" t="s">
        <v>17</v>
      </c>
      <c r="B342" s="12">
        <v>468</v>
      </c>
      <c r="C342" s="12">
        <v>51</v>
      </c>
      <c r="D342" s="12">
        <v>54.28</v>
      </c>
      <c r="E342" s="12">
        <f>(Table1012[[#This Row],[Unit Price]]-Table1012[[#This Row],[Unit Cost]])*Table1012[[#This Row],[Units Sold]]</f>
        <v>-1535.0400000000004</v>
      </c>
    </row>
    <row r="343" spans="1:5" ht="15" hidden="1" thickBot="1">
      <c r="A343" s="24" t="s">
        <v>11</v>
      </c>
      <c r="B343" s="21">
        <v>326</v>
      </c>
      <c r="C343" s="21">
        <v>132.24</v>
      </c>
      <c r="D343" s="21">
        <v>160.74</v>
      </c>
      <c r="E343" s="12">
        <f>(Table1012[[#This Row],[Unit Price]]-Table1012[[#This Row],[Unit Cost]])*Table1012[[#This Row],[Units Sold]]</f>
        <v>-9291</v>
      </c>
    </row>
    <row r="344" spans="1:5" ht="15" hidden="1" thickBot="1">
      <c r="A344" s="25" t="s">
        <v>17</v>
      </c>
      <c r="B344" s="12">
        <v>460</v>
      </c>
      <c r="C344" s="12">
        <v>395.01</v>
      </c>
      <c r="D344" s="12">
        <v>369.2</v>
      </c>
      <c r="E344" s="12">
        <f>(Table1012[[#This Row],[Unit Price]]-Table1012[[#This Row],[Unit Cost]])*Table1012[[#This Row],[Units Sold]]</f>
        <v>11872.6</v>
      </c>
    </row>
    <row r="345" spans="1:5" ht="15" hidden="1" thickBot="1">
      <c r="A345" s="24" t="s">
        <v>11</v>
      </c>
      <c r="B345" s="21">
        <v>132</v>
      </c>
      <c r="C345" s="21">
        <v>433.02</v>
      </c>
      <c r="D345" s="21">
        <v>189.88</v>
      </c>
      <c r="E345" s="12">
        <f>(Table1012[[#This Row],[Unit Price]]-Table1012[[#This Row],[Unit Cost]])*Table1012[[#This Row],[Units Sold]]</f>
        <v>32094.48</v>
      </c>
    </row>
    <row r="346" spans="1:5" ht="15" hidden="1" thickBot="1">
      <c r="A346" s="25" t="s">
        <v>48</v>
      </c>
      <c r="B346" s="12">
        <v>399</v>
      </c>
      <c r="C346" s="12">
        <v>306.2</v>
      </c>
      <c r="D346" s="12">
        <v>7.33</v>
      </c>
      <c r="E346" s="12">
        <f>(Table1012[[#This Row],[Unit Price]]-Table1012[[#This Row],[Unit Cost]])*Table1012[[#This Row],[Units Sold]]</f>
        <v>119249.13</v>
      </c>
    </row>
    <row r="347" spans="1:5" ht="15" hidden="1" thickBot="1">
      <c r="A347" s="24" t="s">
        <v>11</v>
      </c>
      <c r="B347" s="21">
        <v>18</v>
      </c>
      <c r="C347" s="21">
        <v>255.89</v>
      </c>
      <c r="D347" s="21">
        <v>114.53</v>
      </c>
      <c r="E347" s="12">
        <f>(Table1012[[#This Row],[Unit Price]]-Table1012[[#This Row],[Unit Cost]])*Table1012[[#This Row],[Units Sold]]</f>
        <v>2544.4799999999996</v>
      </c>
    </row>
    <row r="348" spans="1:5" ht="15" hidden="1" thickBot="1">
      <c r="A348" s="25" t="s">
        <v>11</v>
      </c>
      <c r="B348" s="12">
        <v>271</v>
      </c>
      <c r="C348" s="12">
        <v>83.86</v>
      </c>
      <c r="D348" s="12">
        <v>19.75</v>
      </c>
      <c r="E348" s="12">
        <f>(Table1012[[#This Row],[Unit Price]]-Table1012[[#This Row],[Unit Cost]])*Table1012[[#This Row],[Units Sold]]</f>
        <v>17373.810000000001</v>
      </c>
    </row>
    <row r="349" spans="1:5" ht="15" hidden="1" thickBot="1">
      <c r="A349" s="24"/>
      <c r="B349" s="21">
        <v>82</v>
      </c>
      <c r="C349" s="21">
        <v>36.24</v>
      </c>
      <c r="D349" s="21">
        <v>16.440000000000001</v>
      </c>
      <c r="E349" s="12">
        <f>(Table1012[[#This Row],[Unit Price]]-Table1012[[#This Row],[Unit Cost]])*Table1012[[#This Row],[Units Sold]]</f>
        <v>1623.6000000000001</v>
      </c>
    </row>
    <row r="350" spans="1:5" ht="15" hidden="1" thickBot="1">
      <c r="A350" s="25" t="s">
        <v>17</v>
      </c>
      <c r="B350" s="12">
        <v>368</v>
      </c>
      <c r="C350" s="12">
        <v>63.24</v>
      </c>
      <c r="D350" s="12">
        <v>111.74</v>
      </c>
      <c r="E350" s="12">
        <f>(Table1012[[#This Row],[Unit Price]]-Table1012[[#This Row],[Unit Cost]])*Table1012[[#This Row],[Units Sold]]</f>
        <v>-17847.999999999996</v>
      </c>
    </row>
    <row r="351" spans="1:5" ht="15" hidden="1" thickBot="1">
      <c r="A351" s="24" t="s">
        <v>17</v>
      </c>
      <c r="B351" s="21">
        <v>232</v>
      </c>
      <c r="C351" s="21">
        <v>117.54</v>
      </c>
      <c r="D351" s="21">
        <v>111.69</v>
      </c>
      <c r="E351" s="12">
        <f>(Table1012[[#This Row],[Unit Price]]-Table1012[[#This Row],[Unit Cost]])*Table1012[[#This Row],[Units Sold]]</f>
        <v>1357.2000000000021</v>
      </c>
    </row>
    <row r="352" spans="1:5" hidden="1">
      <c r="A352" s="30" t="s">
        <v>11</v>
      </c>
      <c r="B352" s="14">
        <v>425</v>
      </c>
      <c r="C352" s="14">
        <v>174.13</v>
      </c>
      <c r="D352" s="14">
        <v>315.27999999999997</v>
      </c>
      <c r="E352" s="14">
        <f>(Table1012[[#This Row],[Unit Price]]-Table1012[[#This Row],[Unit Cost]])*Table1012[[#This Row],[Units Sold]]</f>
        <v>-59988.749999999993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463B-785C-49E1-982D-640BA5D74850}">
  <dimension ref="A1:G352"/>
  <sheetViews>
    <sheetView workbookViewId="0">
      <selection activeCell="G23" sqref="G23"/>
    </sheetView>
  </sheetViews>
  <sheetFormatPr defaultRowHeight="14.4"/>
  <cols>
    <col min="1" max="1" width="13.88671875" bestFit="1" customWidth="1"/>
    <col min="2" max="2" width="9.77734375" bestFit="1" customWidth="1"/>
    <col min="3" max="3" width="9.5546875" bestFit="1" customWidth="1"/>
    <col min="4" max="4" width="13.109375" bestFit="1" customWidth="1"/>
    <col min="5" max="5" width="10.21875" bestFit="1" customWidth="1"/>
    <col min="7" max="7" width="13.88671875" bestFit="1" customWidth="1"/>
  </cols>
  <sheetData>
    <row r="1" spans="1:7">
      <c r="A1" s="32" t="s">
        <v>409</v>
      </c>
    </row>
    <row r="2" spans="1:7" ht="15" thickBot="1">
      <c r="A2" s="28" t="s">
        <v>1</v>
      </c>
      <c r="B2" s="29" t="s">
        <v>7</v>
      </c>
      <c r="C2" s="29" t="s">
        <v>8</v>
      </c>
      <c r="D2" s="29" t="s">
        <v>9</v>
      </c>
      <c r="E2" s="31" t="s">
        <v>405</v>
      </c>
      <c r="G2" s="26" t="s">
        <v>409</v>
      </c>
    </row>
    <row r="3" spans="1:7" ht="15" hidden="1" thickBot="1">
      <c r="A3" s="24" t="s">
        <v>11</v>
      </c>
      <c r="B3" s="21">
        <v>235</v>
      </c>
      <c r="C3" s="21">
        <v>152.91999999999999</v>
      </c>
      <c r="D3" s="21">
        <v>153.6</v>
      </c>
      <c r="E3" s="13">
        <f>(Table101213[[#This Row],[Unit Price]]-Table101213[[#This Row],[Unit Cost]])*Table101213[[#This Row],[Units Sold]]</f>
        <v>-159.8000000000016</v>
      </c>
      <c r="G3" s="26"/>
    </row>
    <row r="4" spans="1:7" ht="15" hidden="1" thickBot="1">
      <c r="A4" s="25" t="s">
        <v>17</v>
      </c>
      <c r="B4" s="12">
        <v>341</v>
      </c>
      <c r="C4" s="12">
        <v>467.92</v>
      </c>
      <c r="D4" s="12">
        <v>139.84</v>
      </c>
      <c r="E4" s="12">
        <f>(Table101213[[#This Row],[Unit Price]]-Table101213[[#This Row],[Unit Cost]])*Table101213[[#This Row],[Units Sold]]</f>
        <v>111875.28000000001</v>
      </c>
      <c r="G4" s="26"/>
    </row>
    <row r="5" spans="1:7" ht="15" hidden="1" thickBot="1">
      <c r="A5" s="24" t="s">
        <v>22</v>
      </c>
      <c r="B5" s="21">
        <v>179</v>
      </c>
      <c r="C5" s="21">
        <v>473.94</v>
      </c>
      <c r="D5" s="21">
        <v>97.14</v>
      </c>
      <c r="E5" s="12">
        <f>(Table101213[[#This Row],[Unit Price]]-Table101213[[#This Row],[Unit Cost]])*Table101213[[#This Row],[Units Sold]]</f>
        <v>67447.199999999997</v>
      </c>
      <c r="G5" s="26"/>
    </row>
    <row r="6" spans="1:7" ht="15" hidden="1" thickBot="1">
      <c r="A6" s="25" t="s">
        <v>11</v>
      </c>
      <c r="B6" s="12">
        <v>18</v>
      </c>
      <c r="C6" s="12">
        <v>314.52999999999997</v>
      </c>
      <c r="D6" s="12">
        <v>204.87</v>
      </c>
      <c r="E6" s="12">
        <f>(Table101213[[#This Row],[Unit Price]]-Table101213[[#This Row],[Unit Cost]])*Table101213[[#This Row],[Units Sold]]</f>
        <v>1973.8799999999994</v>
      </c>
      <c r="G6" s="26"/>
    </row>
    <row r="7" spans="1:7" ht="15" hidden="1" thickBot="1">
      <c r="A7" s="24" t="s">
        <v>11</v>
      </c>
      <c r="B7" s="21">
        <v>472</v>
      </c>
      <c r="C7" s="21">
        <v>392.79</v>
      </c>
      <c r="D7" s="21">
        <v>330.46</v>
      </c>
      <c r="E7" s="12">
        <f>(Table101213[[#This Row],[Unit Price]]-Table101213[[#This Row],[Unit Cost]])*Table101213[[#This Row],[Units Sold]]</f>
        <v>29419.76000000002</v>
      </c>
      <c r="G7" s="26"/>
    </row>
    <row r="8" spans="1:7" ht="15" hidden="1" thickBot="1">
      <c r="A8" s="25" t="s">
        <v>17</v>
      </c>
      <c r="B8" s="12">
        <v>49</v>
      </c>
      <c r="C8" s="12">
        <v>308.07</v>
      </c>
      <c r="D8" s="12">
        <v>113.32</v>
      </c>
      <c r="E8" s="12">
        <f>(Table101213[[#This Row],[Unit Price]]-Table101213[[#This Row],[Unit Cost]])*Table101213[[#This Row],[Units Sold]]</f>
        <v>9542.75</v>
      </c>
      <c r="G8" s="26"/>
    </row>
    <row r="9" spans="1:7" ht="15" hidden="1" thickBot="1">
      <c r="A9" s="24" t="s">
        <v>22</v>
      </c>
      <c r="B9" s="21">
        <v>34</v>
      </c>
      <c r="C9" s="21">
        <v>244.78</v>
      </c>
      <c r="D9" s="21">
        <v>377.07</v>
      </c>
      <c r="E9" s="12">
        <f>(Table101213[[#This Row],[Unit Price]]-Table101213[[#This Row],[Unit Cost]])*Table101213[[#This Row],[Units Sold]]</f>
        <v>-4497.8599999999997</v>
      </c>
      <c r="G9" s="26"/>
    </row>
    <row r="10" spans="1:7" ht="15" hidden="1" thickBot="1">
      <c r="A10" s="25" t="s">
        <v>22</v>
      </c>
      <c r="B10" s="12">
        <v>270</v>
      </c>
      <c r="C10" s="12">
        <v>332.11</v>
      </c>
      <c r="D10" s="12">
        <v>349.59</v>
      </c>
      <c r="E10" s="12">
        <f>(Table101213[[#This Row],[Unit Price]]-Table101213[[#This Row],[Unit Cost]])*Table101213[[#This Row],[Units Sold]]</f>
        <v>-4719.5999999999894</v>
      </c>
      <c r="G10" s="26"/>
    </row>
    <row r="11" spans="1:7" ht="15" hidden="1" thickBot="1">
      <c r="A11" s="24" t="s">
        <v>11</v>
      </c>
      <c r="B11" s="21">
        <v>404</v>
      </c>
      <c r="C11" s="21">
        <v>278.74</v>
      </c>
      <c r="D11" s="21">
        <v>66.38</v>
      </c>
      <c r="E11" s="12">
        <f>(Table101213[[#This Row],[Unit Price]]-Table101213[[#This Row],[Unit Cost]])*Table101213[[#This Row],[Units Sold]]</f>
        <v>85793.44</v>
      </c>
      <c r="G11" s="26"/>
    </row>
    <row r="12" spans="1:7" ht="15" hidden="1" thickBot="1">
      <c r="A12" s="25"/>
      <c r="B12" s="12">
        <v>452</v>
      </c>
      <c r="C12" s="12">
        <v>300.75</v>
      </c>
      <c r="D12" s="12">
        <v>314.94</v>
      </c>
      <c r="E12" s="12">
        <f>(Table101213[[#This Row],[Unit Price]]-Table101213[[#This Row],[Unit Cost]])*Table101213[[#This Row],[Units Sold]]</f>
        <v>-6413.8799999999992</v>
      </c>
      <c r="G12" s="26"/>
    </row>
    <row r="13" spans="1:7" ht="15" hidden="1" thickBot="1">
      <c r="A13" s="24" t="s">
        <v>11</v>
      </c>
      <c r="B13" s="21">
        <v>235</v>
      </c>
      <c r="C13" s="21">
        <v>393</v>
      </c>
      <c r="D13" s="21">
        <v>230.69</v>
      </c>
      <c r="E13" s="12">
        <f>(Table101213[[#This Row],[Unit Price]]-Table101213[[#This Row],[Unit Cost]])*Table101213[[#This Row],[Units Sold]]</f>
        <v>38142.85</v>
      </c>
      <c r="G13" s="26"/>
    </row>
    <row r="14" spans="1:7" ht="15" hidden="1" thickBot="1">
      <c r="A14" s="25" t="s">
        <v>11</v>
      </c>
      <c r="B14" s="12">
        <v>481</v>
      </c>
      <c r="C14" s="12">
        <v>243.05</v>
      </c>
      <c r="D14" s="12">
        <v>227.5</v>
      </c>
      <c r="E14" s="12">
        <f>(Table101213[[#This Row],[Unit Price]]-Table101213[[#This Row],[Unit Cost]])*Table101213[[#This Row],[Units Sold]]</f>
        <v>7479.5500000000056</v>
      </c>
      <c r="G14" s="26"/>
    </row>
    <row r="15" spans="1:7" ht="15" hidden="1" thickBot="1">
      <c r="A15" s="24" t="s">
        <v>11</v>
      </c>
      <c r="B15" s="21">
        <v>133</v>
      </c>
      <c r="C15" s="21">
        <v>25.17</v>
      </c>
      <c r="D15" s="21">
        <v>157.63999999999999</v>
      </c>
      <c r="E15" s="12">
        <f>(Table101213[[#This Row],[Unit Price]]-Table101213[[#This Row],[Unit Cost]])*Table101213[[#This Row],[Units Sold]]</f>
        <v>-17618.509999999995</v>
      </c>
      <c r="G15" s="26"/>
    </row>
    <row r="16" spans="1:7" ht="15" hidden="1" thickBot="1">
      <c r="A16" s="25" t="s">
        <v>11</v>
      </c>
      <c r="B16" s="12">
        <v>472</v>
      </c>
      <c r="C16" s="12">
        <v>86.18</v>
      </c>
      <c r="D16" s="12">
        <v>201.46</v>
      </c>
      <c r="E16" s="12">
        <f>(Table101213[[#This Row],[Unit Price]]-Table101213[[#This Row],[Unit Cost]])*Table101213[[#This Row],[Units Sold]]</f>
        <v>-54412.160000000003</v>
      </c>
      <c r="G16" s="26"/>
    </row>
    <row r="17" spans="1:7" ht="15" hidden="1" thickBot="1">
      <c r="A17" s="24" t="s">
        <v>17</v>
      </c>
      <c r="B17" s="21">
        <v>47</v>
      </c>
      <c r="C17" s="21">
        <v>222.11</v>
      </c>
      <c r="D17" s="21">
        <v>160.08000000000001</v>
      </c>
      <c r="E17" s="12">
        <f>(Table101213[[#This Row],[Unit Price]]-Table101213[[#This Row],[Unit Cost]])*Table101213[[#This Row],[Units Sold]]</f>
        <v>2915.41</v>
      </c>
      <c r="G17" s="26"/>
    </row>
    <row r="18" spans="1:7" ht="15" hidden="1" thickBot="1">
      <c r="A18" s="25" t="s">
        <v>22</v>
      </c>
      <c r="B18" s="12">
        <v>337</v>
      </c>
      <c r="C18" s="12">
        <v>363.79</v>
      </c>
      <c r="D18" s="12">
        <v>216.81</v>
      </c>
      <c r="E18" s="12">
        <f>(Table101213[[#This Row],[Unit Price]]-Table101213[[#This Row],[Unit Cost]])*Table101213[[#This Row],[Units Sold]]</f>
        <v>49532.260000000009</v>
      </c>
      <c r="G18" s="26"/>
    </row>
    <row r="19" spans="1:7" ht="15" hidden="1" thickBot="1">
      <c r="A19" s="24" t="s">
        <v>17</v>
      </c>
      <c r="B19" s="21">
        <v>260</v>
      </c>
      <c r="C19" s="21">
        <v>298.67</v>
      </c>
      <c r="D19" s="21">
        <v>251.92</v>
      </c>
      <c r="E19" s="12">
        <f>(Table101213[[#This Row],[Unit Price]]-Table101213[[#This Row],[Unit Cost]])*Table101213[[#This Row],[Units Sold]]</f>
        <v>12155.000000000007</v>
      </c>
      <c r="G19" s="26"/>
    </row>
    <row r="20" spans="1:7" ht="15" hidden="1" thickBot="1">
      <c r="A20" s="25"/>
      <c r="B20" s="12">
        <v>398</v>
      </c>
      <c r="C20" s="12">
        <v>326.89999999999998</v>
      </c>
      <c r="D20" s="12">
        <v>270.37</v>
      </c>
      <c r="E20" s="12">
        <f>(Table101213[[#This Row],[Unit Price]]-Table101213[[#This Row],[Unit Cost]])*Table101213[[#This Row],[Units Sold]]</f>
        <v>22498.939999999988</v>
      </c>
      <c r="G20" s="26"/>
    </row>
    <row r="21" spans="1:7" ht="15" hidden="1" thickBot="1">
      <c r="A21" s="24" t="s">
        <v>17</v>
      </c>
      <c r="B21" s="21">
        <v>185</v>
      </c>
      <c r="C21" s="21">
        <v>242.24</v>
      </c>
      <c r="D21" s="21">
        <v>213.93</v>
      </c>
      <c r="E21" s="12">
        <f>(Table101213[[#This Row],[Unit Price]]-Table101213[[#This Row],[Unit Cost]])*Table101213[[#This Row],[Units Sold]]</f>
        <v>5237.3500000000004</v>
      </c>
      <c r="G21" s="26"/>
    </row>
    <row r="22" spans="1:7" ht="15" hidden="1" thickBot="1">
      <c r="A22" s="25" t="s">
        <v>11</v>
      </c>
      <c r="B22" s="12">
        <v>99</v>
      </c>
      <c r="C22" s="12">
        <v>309.79000000000002</v>
      </c>
      <c r="D22" s="12">
        <v>289.13</v>
      </c>
      <c r="E22" s="12">
        <f>(Table101213[[#This Row],[Unit Price]]-Table101213[[#This Row],[Unit Cost]])*Table101213[[#This Row],[Units Sold]]</f>
        <v>2045.3400000000024</v>
      </c>
      <c r="G22" s="26"/>
    </row>
    <row r="23" spans="1:7" ht="15" thickBot="1">
      <c r="A23" s="24" t="s">
        <v>48</v>
      </c>
      <c r="B23" s="21">
        <v>411</v>
      </c>
      <c r="C23" s="21">
        <v>167.86</v>
      </c>
      <c r="D23" s="21">
        <v>58.23</v>
      </c>
      <c r="E23" s="12">
        <f>(Table101213[[#This Row],[Unit Price]]-Table101213[[#This Row],[Unit Cost]])*Table101213[[#This Row],[Units Sold]]</f>
        <v>45057.930000000008</v>
      </c>
      <c r="G23" s="26">
        <f>AVERAGEIF(A23:A346,"South",E23:E346)</f>
        <v>16389.779866666675</v>
      </c>
    </row>
    <row r="24" spans="1:7" ht="15" hidden="1" thickBot="1">
      <c r="A24" s="25" t="s">
        <v>22</v>
      </c>
      <c r="B24" s="12">
        <v>463</v>
      </c>
      <c r="C24" s="12">
        <v>237.74</v>
      </c>
      <c r="D24" s="12">
        <v>86.37</v>
      </c>
      <c r="E24" s="12">
        <f>(Table101213[[#This Row],[Unit Price]]-Table101213[[#This Row],[Unit Cost]])*Table101213[[#This Row],[Units Sold]]</f>
        <v>70084.31</v>
      </c>
    </row>
    <row r="25" spans="1:7" ht="15" thickBot="1">
      <c r="A25" s="24" t="s">
        <v>48</v>
      </c>
      <c r="B25" s="21">
        <v>46</v>
      </c>
      <c r="C25" s="21">
        <v>373.42</v>
      </c>
      <c r="D25" s="21">
        <v>327.86</v>
      </c>
      <c r="E25" s="12">
        <f>(Table101213[[#This Row],[Unit Price]]-Table101213[[#This Row],[Unit Cost]])*Table101213[[#This Row],[Units Sold]]</f>
        <v>2095.7600000000002</v>
      </c>
    </row>
    <row r="26" spans="1:7" ht="15" hidden="1" thickBot="1">
      <c r="A26" s="25" t="s">
        <v>17</v>
      </c>
      <c r="B26" s="12">
        <v>325</v>
      </c>
      <c r="C26" s="12">
        <v>436.56</v>
      </c>
      <c r="D26" s="12">
        <v>130.37</v>
      </c>
      <c r="E26" s="12">
        <f>(Table101213[[#This Row],[Unit Price]]-Table101213[[#This Row],[Unit Cost]])*Table101213[[#This Row],[Units Sold]]</f>
        <v>99511.75</v>
      </c>
    </row>
    <row r="27" spans="1:7" ht="15" hidden="1" thickBot="1">
      <c r="A27" s="24" t="s">
        <v>17</v>
      </c>
      <c r="B27" s="21">
        <v>185</v>
      </c>
      <c r="C27" s="21">
        <v>219.66</v>
      </c>
      <c r="D27" s="21">
        <v>11.11</v>
      </c>
      <c r="E27" s="12">
        <f>(Table101213[[#This Row],[Unit Price]]-Table101213[[#This Row],[Unit Cost]])*Table101213[[#This Row],[Units Sold]]</f>
        <v>38581.75</v>
      </c>
    </row>
    <row r="28" spans="1:7" ht="15" thickBot="1">
      <c r="A28" s="25" t="s">
        <v>48</v>
      </c>
      <c r="B28" s="12">
        <v>470</v>
      </c>
      <c r="C28" s="12">
        <v>26.61</v>
      </c>
      <c r="D28" s="12">
        <v>63.21</v>
      </c>
      <c r="E28" s="12">
        <f>(Table101213[[#This Row],[Unit Price]]-Table101213[[#This Row],[Unit Cost]])*Table101213[[#This Row],[Units Sold]]</f>
        <v>-17202</v>
      </c>
    </row>
    <row r="29" spans="1:7" ht="15" thickBot="1">
      <c r="A29" s="24" t="s">
        <v>48</v>
      </c>
      <c r="B29" s="21">
        <v>293</v>
      </c>
      <c r="C29" s="21">
        <v>85.03</v>
      </c>
      <c r="D29" s="21">
        <v>91</v>
      </c>
      <c r="E29" s="12">
        <f>(Table101213[[#This Row],[Unit Price]]-Table101213[[#This Row],[Unit Cost]])*Table101213[[#This Row],[Units Sold]]</f>
        <v>-1749.2099999999996</v>
      </c>
    </row>
    <row r="30" spans="1:7" ht="15" thickBot="1">
      <c r="A30" s="25" t="s">
        <v>48</v>
      </c>
      <c r="B30" s="12">
        <v>462</v>
      </c>
      <c r="C30" s="12"/>
      <c r="D30" s="12">
        <v>383.01</v>
      </c>
      <c r="E30" s="12">
        <f>(Table101213[[#This Row],[Unit Price]]-Table101213[[#This Row],[Unit Cost]])*Table101213[[#This Row],[Units Sold]]</f>
        <v>-176950.62</v>
      </c>
    </row>
    <row r="31" spans="1:7" ht="15" hidden="1" thickBot="1">
      <c r="A31" s="24" t="s">
        <v>17</v>
      </c>
      <c r="B31" s="21">
        <v>470</v>
      </c>
      <c r="C31" s="21">
        <v>328.37</v>
      </c>
      <c r="D31" s="21">
        <v>230.07</v>
      </c>
      <c r="E31" s="12">
        <f>(Table101213[[#This Row],[Unit Price]]-Table101213[[#This Row],[Unit Cost]])*Table101213[[#This Row],[Units Sold]]</f>
        <v>46201.000000000007</v>
      </c>
    </row>
    <row r="32" spans="1:7" ht="15" hidden="1" thickBot="1">
      <c r="A32" s="25" t="s">
        <v>17</v>
      </c>
      <c r="B32" s="12">
        <v>90</v>
      </c>
      <c r="C32" s="12">
        <v>169.5</v>
      </c>
      <c r="D32" s="12">
        <v>373.23</v>
      </c>
      <c r="E32" s="12">
        <f>(Table101213[[#This Row],[Unit Price]]-Table101213[[#This Row],[Unit Cost]])*Table101213[[#This Row],[Units Sold]]</f>
        <v>-18335.7</v>
      </c>
    </row>
    <row r="33" spans="1:5" ht="15" hidden="1" thickBot="1">
      <c r="A33" s="24"/>
      <c r="B33" s="21">
        <v>123</v>
      </c>
      <c r="C33" s="21">
        <v>273.52999999999997</v>
      </c>
      <c r="D33" s="21">
        <v>230.92</v>
      </c>
      <c r="E33" s="12">
        <f>(Table101213[[#This Row],[Unit Price]]-Table101213[[#This Row],[Unit Cost]])*Table101213[[#This Row],[Units Sold]]</f>
        <v>5241.0299999999979</v>
      </c>
    </row>
    <row r="34" spans="1:5" ht="15" hidden="1" thickBot="1">
      <c r="A34" s="25" t="s">
        <v>22</v>
      </c>
      <c r="B34" s="12">
        <v>49</v>
      </c>
      <c r="C34" s="12">
        <v>249.17</v>
      </c>
      <c r="D34" s="12">
        <v>192.78</v>
      </c>
      <c r="E34" s="12">
        <f>(Table101213[[#This Row],[Unit Price]]-Table101213[[#This Row],[Unit Cost]])*Table101213[[#This Row],[Units Sold]]</f>
        <v>2763.1099999999992</v>
      </c>
    </row>
    <row r="35" spans="1:5" ht="15" hidden="1" thickBot="1">
      <c r="A35" s="24" t="s">
        <v>17</v>
      </c>
      <c r="B35" s="21">
        <v>310</v>
      </c>
      <c r="C35" s="21">
        <v>45.36</v>
      </c>
      <c r="D35" s="21">
        <v>126.86</v>
      </c>
      <c r="E35" s="12">
        <f>(Table101213[[#This Row],[Unit Price]]-Table101213[[#This Row],[Unit Cost]])*Table101213[[#This Row],[Units Sold]]</f>
        <v>-25265</v>
      </c>
    </row>
    <row r="36" spans="1:5" ht="15" thickBot="1">
      <c r="A36" s="25" t="s">
        <v>48</v>
      </c>
      <c r="B36" s="12">
        <v>233</v>
      </c>
      <c r="C36" s="12">
        <v>204.61</v>
      </c>
      <c r="D36" s="12">
        <v>243.34</v>
      </c>
      <c r="E36" s="12">
        <f>(Table101213[[#This Row],[Unit Price]]-Table101213[[#This Row],[Unit Cost]])*Table101213[[#This Row],[Units Sold]]</f>
        <v>-9024.0899999999983</v>
      </c>
    </row>
    <row r="37" spans="1:5" ht="15" thickBot="1">
      <c r="A37" s="24" t="s">
        <v>48</v>
      </c>
      <c r="B37" s="21">
        <v>327</v>
      </c>
      <c r="C37" s="21">
        <v>114.18</v>
      </c>
      <c r="D37" s="21">
        <v>57.4</v>
      </c>
      <c r="E37" s="12">
        <f>(Table101213[[#This Row],[Unit Price]]-Table101213[[#This Row],[Unit Cost]])*Table101213[[#This Row],[Units Sold]]</f>
        <v>18567.060000000001</v>
      </c>
    </row>
    <row r="38" spans="1:5" ht="15" hidden="1" thickBot="1">
      <c r="A38" s="25" t="s">
        <v>22</v>
      </c>
      <c r="B38" s="12">
        <v>358</v>
      </c>
      <c r="C38" s="12">
        <v>212.11</v>
      </c>
      <c r="D38" s="12">
        <v>359.51</v>
      </c>
      <c r="E38" s="12">
        <f>(Table101213[[#This Row],[Unit Price]]-Table101213[[#This Row],[Unit Cost]])*Table101213[[#This Row],[Units Sold]]</f>
        <v>-52769.19999999999</v>
      </c>
    </row>
    <row r="39" spans="1:5" ht="15" hidden="1" thickBot="1">
      <c r="A39" s="24" t="s">
        <v>17</v>
      </c>
      <c r="B39" s="21">
        <v>124</v>
      </c>
      <c r="C39" s="21"/>
      <c r="D39" s="21">
        <v>332.07</v>
      </c>
      <c r="E39" s="12">
        <f>(Table101213[[#This Row],[Unit Price]]-Table101213[[#This Row],[Unit Cost]])*Table101213[[#This Row],[Units Sold]]</f>
        <v>-41176.68</v>
      </c>
    </row>
    <row r="40" spans="1:5" ht="15" hidden="1" thickBot="1">
      <c r="A40" s="25" t="s">
        <v>22</v>
      </c>
      <c r="B40" s="12">
        <v>195</v>
      </c>
      <c r="C40" s="12">
        <v>421.02</v>
      </c>
      <c r="D40" s="12">
        <v>128.38</v>
      </c>
      <c r="E40" s="12">
        <f>(Table101213[[#This Row],[Unit Price]]-Table101213[[#This Row],[Unit Cost]])*Table101213[[#This Row],[Units Sold]]</f>
        <v>57064.799999999996</v>
      </c>
    </row>
    <row r="41" spans="1:5" ht="15" hidden="1" thickBot="1">
      <c r="A41" s="24" t="s">
        <v>22</v>
      </c>
      <c r="B41" s="21"/>
      <c r="C41" s="21">
        <v>91.23</v>
      </c>
      <c r="D41" s="21">
        <v>381.21</v>
      </c>
      <c r="E41" s="12">
        <f>(Table101213[[#This Row],[Unit Price]]-Table101213[[#This Row],[Unit Cost]])*Table101213[[#This Row],[Units Sold]]</f>
        <v>0</v>
      </c>
    </row>
    <row r="42" spans="1:5" ht="15" hidden="1" thickBot="1">
      <c r="A42" s="25" t="s">
        <v>11</v>
      </c>
      <c r="B42" s="12">
        <v>65</v>
      </c>
      <c r="C42" s="12">
        <v>480.59</v>
      </c>
      <c r="D42" s="12">
        <v>330.43</v>
      </c>
      <c r="E42" s="12">
        <f>(Table101213[[#This Row],[Unit Price]]-Table101213[[#This Row],[Unit Cost]])*Table101213[[#This Row],[Units Sold]]</f>
        <v>9760.3999999999978</v>
      </c>
    </row>
    <row r="43" spans="1:5" ht="15" hidden="1" thickBot="1">
      <c r="A43" s="24" t="s">
        <v>11</v>
      </c>
      <c r="B43" s="21">
        <v>49</v>
      </c>
      <c r="C43" s="21">
        <v>210.87</v>
      </c>
      <c r="D43" s="21">
        <v>267.19</v>
      </c>
      <c r="E43" s="12">
        <f>(Table101213[[#This Row],[Unit Price]]-Table101213[[#This Row],[Unit Cost]])*Table101213[[#This Row],[Units Sold]]</f>
        <v>-2759.68</v>
      </c>
    </row>
    <row r="44" spans="1:5" ht="15" hidden="1" thickBot="1">
      <c r="A44" s="25" t="s">
        <v>11</v>
      </c>
      <c r="B44" s="12">
        <v>363</v>
      </c>
      <c r="C44" s="12">
        <v>423.89</v>
      </c>
      <c r="D44" s="12">
        <v>50.46</v>
      </c>
      <c r="E44" s="12">
        <f>(Table101213[[#This Row],[Unit Price]]-Table101213[[#This Row],[Unit Cost]])*Table101213[[#This Row],[Units Sold]]</f>
        <v>135555.09</v>
      </c>
    </row>
    <row r="45" spans="1:5" ht="15" thickBot="1">
      <c r="A45" s="24" t="s">
        <v>48</v>
      </c>
      <c r="B45" s="21">
        <v>49</v>
      </c>
      <c r="C45" s="21">
        <v>316.24</v>
      </c>
      <c r="D45" s="21">
        <v>192.34</v>
      </c>
      <c r="E45" s="12">
        <f>(Table101213[[#This Row],[Unit Price]]-Table101213[[#This Row],[Unit Cost]])*Table101213[[#This Row],[Units Sold]]</f>
        <v>6071.1</v>
      </c>
    </row>
    <row r="46" spans="1:5" ht="15" hidden="1" thickBot="1">
      <c r="A46" s="25" t="s">
        <v>17</v>
      </c>
      <c r="B46" s="12">
        <v>356</v>
      </c>
      <c r="C46" s="12">
        <v>369</v>
      </c>
      <c r="D46" s="12">
        <v>203.43</v>
      </c>
      <c r="E46" s="12">
        <f>(Table101213[[#This Row],[Unit Price]]-Table101213[[#This Row],[Unit Cost]])*Table101213[[#This Row],[Units Sold]]</f>
        <v>58942.92</v>
      </c>
    </row>
    <row r="47" spans="1:5" ht="15" hidden="1" thickBot="1">
      <c r="A47" s="24" t="s">
        <v>17</v>
      </c>
      <c r="B47" s="21">
        <v>470</v>
      </c>
      <c r="C47" s="21"/>
      <c r="D47" s="21">
        <v>94.56</v>
      </c>
      <c r="E47" s="12">
        <f>(Table101213[[#This Row],[Unit Price]]-Table101213[[#This Row],[Unit Cost]])*Table101213[[#This Row],[Units Sold]]</f>
        <v>-44443.200000000004</v>
      </c>
    </row>
    <row r="48" spans="1:5" ht="15" hidden="1" thickBot="1">
      <c r="A48" s="25" t="s">
        <v>17</v>
      </c>
      <c r="B48" s="12">
        <v>246</v>
      </c>
      <c r="C48" s="12">
        <v>254.9</v>
      </c>
      <c r="D48" s="12">
        <v>33.83</v>
      </c>
      <c r="E48" s="12">
        <f>(Table101213[[#This Row],[Unit Price]]-Table101213[[#This Row],[Unit Cost]])*Table101213[[#This Row],[Units Sold]]</f>
        <v>54383.22</v>
      </c>
    </row>
    <row r="49" spans="1:5" ht="15" hidden="1" thickBot="1">
      <c r="A49" s="24" t="s">
        <v>17</v>
      </c>
      <c r="B49" s="21">
        <v>298</v>
      </c>
      <c r="C49" s="21">
        <v>273.93</v>
      </c>
      <c r="D49" s="21">
        <v>311.14</v>
      </c>
      <c r="E49" s="12">
        <f>(Table101213[[#This Row],[Unit Price]]-Table101213[[#This Row],[Unit Cost]])*Table101213[[#This Row],[Units Sold]]</f>
        <v>-11088.579999999994</v>
      </c>
    </row>
    <row r="50" spans="1:5" ht="15" hidden="1" thickBot="1">
      <c r="A50" s="25" t="s">
        <v>11</v>
      </c>
      <c r="B50" s="12">
        <v>271</v>
      </c>
      <c r="C50" s="12">
        <v>259.43</v>
      </c>
      <c r="D50" s="12">
        <v>50.57</v>
      </c>
      <c r="E50" s="12">
        <f>(Table101213[[#This Row],[Unit Price]]-Table101213[[#This Row],[Unit Cost]])*Table101213[[#This Row],[Units Sold]]</f>
        <v>56601.060000000005</v>
      </c>
    </row>
    <row r="51" spans="1:5" ht="15" thickBot="1">
      <c r="A51" s="24" t="s">
        <v>48</v>
      </c>
      <c r="B51" s="21">
        <v>225</v>
      </c>
      <c r="C51" s="21">
        <v>296.08999999999997</v>
      </c>
      <c r="D51" s="21">
        <v>238.53</v>
      </c>
      <c r="E51" s="12">
        <f>(Table101213[[#This Row],[Unit Price]]-Table101213[[#This Row],[Unit Cost]])*Table101213[[#This Row],[Units Sold]]</f>
        <v>12950.999999999995</v>
      </c>
    </row>
    <row r="52" spans="1:5" ht="15" hidden="1" thickBot="1">
      <c r="A52" s="25"/>
      <c r="B52" s="12">
        <v>156</v>
      </c>
      <c r="C52" s="12">
        <v>19.55</v>
      </c>
      <c r="D52" s="12">
        <v>374.71</v>
      </c>
      <c r="E52" s="12">
        <f>(Table101213[[#This Row],[Unit Price]]-Table101213[[#This Row],[Unit Cost]])*Table101213[[#This Row],[Units Sold]]</f>
        <v>-55404.959999999992</v>
      </c>
    </row>
    <row r="53" spans="1:5" ht="15" hidden="1" thickBot="1">
      <c r="A53" s="24" t="s">
        <v>11</v>
      </c>
      <c r="B53" s="21">
        <v>345</v>
      </c>
      <c r="C53" s="21">
        <v>200.78</v>
      </c>
      <c r="D53" s="21">
        <v>350.69</v>
      </c>
      <c r="E53" s="12">
        <f>(Table101213[[#This Row],[Unit Price]]-Table101213[[#This Row],[Unit Cost]])*Table101213[[#This Row],[Units Sold]]</f>
        <v>-51718.95</v>
      </c>
    </row>
    <row r="54" spans="1:5" ht="15" thickBot="1">
      <c r="A54" s="25" t="s">
        <v>48</v>
      </c>
      <c r="B54" s="12">
        <v>177</v>
      </c>
      <c r="C54" s="12">
        <v>305.06</v>
      </c>
      <c r="D54" s="12">
        <v>112.55</v>
      </c>
      <c r="E54" s="12">
        <f>(Table101213[[#This Row],[Unit Price]]-Table101213[[#This Row],[Unit Cost]])*Table101213[[#This Row],[Units Sold]]</f>
        <v>34074.269999999997</v>
      </c>
    </row>
    <row r="55" spans="1:5" ht="15" hidden="1" thickBot="1">
      <c r="A55" s="24" t="s">
        <v>11</v>
      </c>
      <c r="B55" s="21">
        <v>101</v>
      </c>
      <c r="C55" s="21">
        <v>300.87</v>
      </c>
      <c r="D55" s="21">
        <v>340.88</v>
      </c>
      <c r="E55" s="12">
        <f>(Table101213[[#This Row],[Unit Price]]-Table101213[[#This Row],[Unit Cost]])*Table101213[[#This Row],[Units Sold]]</f>
        <v>-4041.0099999999993</v>
      </c>
    </row>
    <row r="56" spans="1:5" ht="15" hidden="1" thickBot="1">
      <c r="A56" s="25" t="s">
        <v>17</v>
      </c>
      <c r="B56" s="12">
        <v>362</v>
      </c>
      <c r="C56" s="12">
        <v>397.51</v>
      </c>
      <c r="D56" s="12">
        <v>2.13</v>
      </c>
      <c r="E56" s="12">
        <f>(Table101213[[#This Row],[Unit Price]]-Table101213[[#This Row],[Unit Cost]])*Table101213[[#This Row],[Units Sold]]</f>
        <v>143127.56</v>
      </c>
    </row>
    <row r="57" spans="1:5" ht="15" hidden="1" thickBot="1">
      <c r="A57" s="24" t="s">
        <v>11</v>
      </c>
      <c r="B57" s="21">
        <v>68</v>
      </c>
      <c r="C57" s="21">
        <v>329.23</v>
      </c>
      <c r="D57" s="21">
        <v>9.0399999999999991</v>
      </c>
      <c r="E57" s="12">
        <f>(Table101213[[#This Row],[Unit Price]]-Table101213[[#This Row],[Unit Cost]])*Table101213[[#This Row],[Units Sold]]</f>
        <v>21772.92</v>
      </c>
    </row>
    <row r="58" spans="1:5" ht="15" hidden="1" thickBot="1">
      <c r="A58" s="25" t="s">
        <v>17</v>
      </c>
      <c r="B58" s="12">
        <v>68</v>
      </c>
      <c r="C58" s="12">
        <v>496.11</v>
      </c>
      <c r="D58" s="12">
        <v>241.82</v>
      </c>
      <c r="E58" s="12">
        <f>(Table101213[[#This Row],[Unit Price]]-Table101213[[#This Row],[Unit Cost]])*Table101213[[#This Row],[Units Sold]]</f>
        <v>17291.72</v>
      </c>
    </row>
    <row r="59" spans="1:5" ht="15" hidden="1" thickBot="1">
      <c r="A59" s="24" t="s">
        <v>17</v>
      </c>
      <c r="B59" s="21">
        <v>313</v>
      </c>
      <c r="C59" s="21">
        <v>145.51</v>
      </c>
      <c r="D59" s="21">
        <v>147.19</v>
      </c>
      <c r="E59" s="12">
        <f>(Table101213[[#This Row],[Unit Price]]-Table101213[[#This Row],[Unit Cost]])*Table101213[[#This Row],[Units Sold]]</f>
        <v>-525.84000000000219</v>
      </c>
    </row>
    <row r="60" spans="1:5" ht="15" hidden="1" thickBot="1">
      <c r="A60" s="25" t="s">
        <v>22</v>
      </c>
      <c r="B60" s="12">
        <v>178</v>
      </c>
      <c r="C60" s="12">
        <v>182.78</v>
      </c>
      <c r="D60" s="12">
        <v>155.81</v>
      </c>
      <c r="E60" s="12">
        <f>(Table101213[[#This Row],[Unit Price]]-Table101213[[#This Row],[Unit Cost]])*Table101213[[#This Row],[Units Sold]]</f>
        <v>4800.66</v>
      </c>
    </row>
    <row r="61" spans="1:5" ht="15" hidden="1" thickBot="1">
      <c r="A61" s="24" t="s">
        <v>11</v>
      </c>
      <c r="B61" s="21">
        <v>278</v>
      </c>
      <c r="C61" s="21">
        <v>195</v>
      </c>
      <c r="D61" s="21">
        <v>226.65</v>
      </c>
      <c r="E61" s="12">
        <f>(Table101213[[#This Row],[Unit Price]]-Table101213[[#This Row],[Unit Cost]])*Table101213[[#This Row],[Units Sold]]</f>
        <v>-8798.7000000000007</v>
      </c>
    </row>
    <row r="62" spans="1:5" ht="15" hidden="1" thickBot="1">
      <c r="A62" s="25" t="s">
        <v>22</v>
      </c>
      <c r="B62" s="12">
        <v>372</v>
      </c>
      <c r="C62" s="12">
        <v>235.58</v>
      </c>
      <c r="D62" s="12">
        <v>78.33</v>
      </c>
      <c r="E62" s="12">
        <f>(Table101213[[#This Row],[Unit Price]]-Table101213[[#This Row],[Unit Cost]])*Table101213[[#This Row],[Units Sold]]</f>
        <v>58497</v>
      </c>
    </row>
    <row r="63" spans="1:5" ht="15" hidden="1" thickBot="1">
      <c r="A63" s="24" t="s">
        <v>11</v>
      </c>
      <c r="B63" s="21">
        <v>54</v>
      </c>
      <c r="C63" s="21">
        <v>418.82</v>
      </c>
      <c r="D63" s="21">
        <v>86.28</v>
      </c>
      <c r="E63" s="12">
        <f>(Table101213[[#This Row],[Unit Price]]-Table101213[[#This Row],[Unit Cost]])*Table101213[[#This Row],[Units Sold]]</f>
        <v>17957.159999999996</v>
      </c>
    </row>
    <row r="64" spans="1:5" ht="15" hidden="1" thickBot="1">
      <c r="A64" s="25" t="s">
        <v>11</v>
      </c>
      <c r="B64" s="12">
        <v>354</v>
      </c>
      <c r="C64" s="12">
        <v>121.72</v>
      </c>
      <c r="D64" s="12">
        <v>194.87</v>
      </c>
      <c r="E64" s="12">
        <f>(Table101213[[#This Row],[Unit Price]]-Table101213[[#This Row],[Unit Cost]])*Table101213[[#This Row],[Units Sold]]</f>
        <v>-25895.100000000002</v>
      </c>
    </row>
    <row r="65" spans="1:5" ht="15" hidden="1" thickBot="1">
      <c r="A65" s="24" t="s">
        <v>22</v>
      </c>
      <c r="B65" s="21">
        <v>190</v>
      </c>
      <c r="C65" s="21">
        <v>389.12</v>
      </c>
      <c r="D65" s="21">
        <v>302.19</v>
      </c>
      <c r="E65" s="12">
        <f>(Table101213[[#This Row],[Unit Price]]-Table101213[[#This Row],[Unit Cost]])*Table101213[[#This Row],[Units Sold]]</f>
        <v>16516.7</v>
      </c>
    </row>
    <row r="66" spans="1:5" ht="15" hidden="1" thickBot="1">
      <c r="A66" s="25"/>
      <c r="B66" s="12">
        <v>179</v>
      </c>
      <c r="C66" s="12">
        <v>205.63</v>
      </c>
      <c r="D66" s="12">
        <v>248.56</v>
      </c>
      <c r="E66" s="12">
        <f>(Table101213[[#This Row],[Unit Price]]-Table101213[[#This Row],[Unit Cost]])*Table101213[[#This Row],[Units Sold]]</f>
        <v>-7684.4700000000012</v>
      </c>
    </row>
    <row r="67" spans="1:5" ht="15" hidden="1" thickBot="1">
      <c r="A67" s="24" t="s">
        <v>11</v>
      </c>
      <c r="B67" s="21">
        <v>365</v>
      </c>
      <c r="C67" s="21">
        <v>302.92</v>
      </c>
      <c r="D67" s="21">
        <v>120.35</v>
      </c>
      <c r="E67" s="12">
        <f>(Table101213[[#This Row],[Unit Price]]-Table101213[[#This Row],[Unit Cost]])*Table101213[[#This Row],[Units Sold]]</f>
        <v>66638.05</v>
      </c>
    </row>
    <row r="68" spans="1:5" ht="15" thickBot="1">
      <c r="A68" s="25" t="s">
        <v>48</v>
      </c>
      <c r="B68" s="12">
        <v>200</v>
      </c>
      <c r="C68" s="12">
        <v>318.11</v>
      </c>
      <c r="D68" s="12">
        <v>173.27</v>
      </c>
      <c r="E68" s="12">
        <f>(Table101213[[#This Row],[Unit Price]]-Table101213[[#This Row],[Unit Cost]])*Table101213[[#This Row],[Units Sold]]</f>
        <v>28968</v>
      </c>
    </row>
    <row r="69" spans="1:5" ht="15" hidden="1" thickBot="1">
      <c r="A69" s="24" t="s">
        <v>17</v>
      </c>
      <c r="B69" s="21">
        <v>164</v>
      </c>
      <c r="C69" s="21">
        <v>189.56</v>
      </c>
      <c r="D69" s="21">
        <v>69.92</v>
      </c>
      <c r="E69" s="12">
        <f>(Table101213[[#This Row],[Unit Price]]-Table101213[[#This Row],[Unit Cost]])*Table101213[[#This Row],[Units Sold]]</f>
        <v>19620.96</v>
      </c>
    </row>
    <row r="70" spans="1:5" ht="15" hidden="1" thickBot="1">
      <c r="A70" s="25" t="s">
        <v>22</v>
      </c>
      <c r="B70" s="12">
        <v>431</v>
      </c>
      <c r="C70" s="12">
        <v>258.74</v>
      </c>
      <c r="D70" s="12">
        <v>31.7</v>
      </c>
      <c r="E70" s="12">
        <f>(Table101213[[#This Row],[Unit Price]]-Table101213[[#This Row],[Unit Cost]])*Table101213[[#This Row],[Units Sold]]</f>
        <v>97854.24</v>
      </c>
    </row>
    <row r="71" spans="1:5" ht="15" hidden="1" thickBot="1">
      <c r="A71" s="24" t="s">
        <v>17</v>
      </c>
      <c r="B71" s="21">
        <v>197</v>
      </c>
      <c r="C71" s="21">
        <v>209.45</v>
      </c>
      <c r="D71" s="21">
        <v>313.51</v>
      </c>
      <c r="E71" s="12">
        <f>(Table101213[[#This Row],[Unit Price]]-Table101213[[#This Row],[Unit Cost]])*Table101213[[#This Row],[Units Sold]]</f>
        <v>-20499.82</v>
      </c>
    </row>
    <row r="72" spans="1:5" ht="15" thickBot="1">
      <c r="A72" s="25" t="s">
        <v>48</v>
      </c>
      <c r="B72" s="12">
        <v>16</v>
      </c>
      <c r="C72" s="12">
        <v>39.22</v>
      </c>
      <c r="D72" s="12">
        <v>107.62</v>
      </c>
      <c r="E72" s="12">
        <f>(Table101213[[#This Row],[Unit Price]]-Table101213[[#This Row],[Unit Cost]])*Table101213[[#This Row],[Units Sold]]</f>
        <v>-1094.4000000000001</v>
      </c>
    </row>
    <row r="73" spans="1:5" ht="15" thickBot="1">
      <c r="A73" s="24" t="s">
        <v>48</v>
      </c>
      <c r="B73" s="21">
        <v>142</v>
      </c>
      <c r="C73" s="21">
        <v>221.4</v>
      </c>
      <c r="D73" s="21">
        <v>72.75</v>
      </c>
      <c r="E73" s="12">
        <f>(Table101213[[#This Row],[Unit Price]]-Table101213[[#This Row],[Unit Cost]])*Table101213[[#This Row],[Units Sold]]</f>
        <v>21108.3</v>
      </c>
    </row>
    <row r="74" spans="1:5" ht="15" thickBot="1">
      <c r="A74" s="25" t="s">
        <v>48</v>
      </c>
      <c r="B74" s="12">
        <v>244</v>
      </c>
      <c r="C74" s="12">
        <v>53.21</v>
      </c>
      <c r="D74" s="12">
        <v>277.26</v>
      </c>
      <c r="E74" s="12">
        <f>(Table101213[[#This Row],[Unit Price]]-Table101213[[#This Row],[Unit Cost]])*Table101213[[#This Row],[Units Sold]]</f>
        <v>-54668.2</v>
      </c>
    </row>
    <row r="75" spans="1:5" ht="15" hidden="1" thickBot="1">
      <c r="A75" s="24" t="s">
        <v>22</v>
      </c>
      <c r="B75" s="21">
        <v>54</v>
      </c>
      <c r="C75" s="21">
        <v>205.49</v>
      </c>
      <c r="D75" s="21">
        <v>247.98</v>
      </c>
      <c r="E75" s="12">
        <f>(Table101213[[#This Row],[Unit Price]]-Table101213[[#This Row],[Unit Cost]])*Table101213[[#This Row],[Units Sold]]</f>
        <v>-2294.4599999999991</v>
      </c>
    </row>
    <row r="76" spans="1:5" ht="15" thickBot="1">
      <c r="A76" s="25" t="s">
        <v>48</v>
      </c>
      <c r="B76" s="12">
        <v>323</v>
      </c>
      <c r="C76" s="12">
        <v>298.49</v>
      </c>
      <c r="D76" s="12">
        <v>254.01</v>
      </c>
      <c r="E76" s="12">
        <f>(Table101213[[#This Row],[Unit Price]]-Table101213[[#This Row],[Unit Cost]])*Table101213[[#This Row],[Units Sold]]</f>
        <v>14367.040000000006</v>
      </c>
    </row>
    <row r="77" spans="1:5" ht="15" hidden="1" thickBot="1">
      <c r="A77" s="24" t="s">
        <v>22</v>
      </c>
      <c r="B77" s="21">
        <v>258</v>
      </c>
      <c r="C77" s="21">
        <v>291.81</v>
      </c>
      <c r="D77" s="21">
        <v>93.1</v>
      </c>
      <c r="E77" s="12">
        <f>(Table101213[[#This Row],[Unit Price]]-Table101213[[#This Row],[Unit Cost]])*Table101213[[#This Row],[Units Sold]]</f>
        <v>51267.18</v>
      </c>
    </row>
    <row r="78" spans="1:5" ht="15" thickBot="1">
      <c r="A78" s="25" t="s">
        <v>48</v>
      </c>
      <c r="B78" s="12">
        <v>40</v>
      </c>
      <c r="C78" s="12">
        <v>333</v>
      </c>
      <c r="D78" s="12">
        <v>94.59</v>
      </c>
      <c r="E78" s="12">
        <f>(Table101213[[#This Row],[Unit Price]]-Table101213[[#This Row],[Unit Cost]])*Table101213[[#This Row],[Units Sold]]</f>
        <v>9536.4</v>
      </c>
    </row>
    <row r="79" spans="1:5" ht="15" hidden="1" thickBot="1">
      <c r="A79" s="24" t="s">
        <v>17</v>
      </c>
      <c r="B79" s="21">
        <v>32</v>
      </c>
      <c r="C79" s="21">
        <v>52.15</v>
      </c>
      <c r="D79" s="21">
        <v>89.88</v>
      </c>
      <c r="E79" s="12">
        <f>(Table101213[[#This Row],[Unit Price]]-Table101213[[#This Row],[Unit Cost]])*Table101213[[#This Row],[Units Sold]]</f>
        <v>-1207.3599999999999</v>
      </c>
    </row>
    <row r="80" spans="1:5" ht="15" hidden="1" thickBot="1">
      <c r="A80" s="25" t="s">
        <v>17</v>
      </c>
      <c r="B80" s="12">
        <v>435</v>
      </c>
      <c r="C80" s="12">
        <v>327.8</v>
      </c>
      <c r="D80" s="12">
        <v>71.150000000000006</v>
      </c>
      <c r="E80" s="12">
        <f>(Table101213[[#This Row],[Unit Price]]-Table101213[[#This Row],[Unit Cost]])*Table101213[[#This Row],[Units Sold]]</f>
        <v>111642.74999999999</v>
      </c>
    </row>
    <row r="81" spans="1:5" ht="15" hidden="1" thickBot="1">
      <c r="A81" s="24" t="s">
        <v>11</v>
      </c>
      <c r="B81" s="21">
        <v>403</v>
      </c>
      <c r="C81" s="21">
        <v>159.51</v>
      </c>
      <c r="D81" s="21">
        <v>262.98</v>
      </c>
      <c r="E81" s="12">
        <f>(Table101213[[#This Row],[Unit Price]]-Table101213[[#This Row],[Unit Cost]])*Table101213[[#This Row],[Units Sold]]</f>
        <v>-41698.410000000011</v>
      </c>
    </row>
    <row r="82" spans="1:5" ht="15" hidden="1" thickBot="1">
      <c r="A82" s="25" t="s">
        <v>17</v>
      </c>
      <c r="B82" s="12">
        <v>169</v>
      </c>
      <c r="C82" s="12"/>
      <c r="D82" s="12">
        <v>339.51</v>
      </c>
      <c r="E82" s="12">
        <f>(Table101213[[#This Row],[Unit Price]]-Table101213[[#This Row],[Unit Cost]])*Table101213[[#This Row],[Units Sold]]</f>
        <v>-57377.189999999995</v>
      </c>
    </row>
    <row r="83" spans="1:5" ht="15" hidden="1" thickBot="1">
      <c r="A83" s="24" t="s">
        <v>11</v>
      </c>
      <c r="B83" s="21">
        <v>372</v>
      </c>
      <c r="C83" s="21">
        <v>429.7</v>
      </c>
      <c r="D83" s="21">
        <v>290.27999999999997</v>
      </c>
      <c r="E83" s="12">
        <f>(Table101213[[#This Row],[Unit Price]]-Table101213[[#This Row],[Unit Cost]])*Table101213[[#This Row],[Units Sold]]</f>
        <v>51864.240000000005</v>
      </c>
    </row>
    <row r="84" spans="1:5" ht="15" hidden="1" thickBot="1">
      <c r="A84" s="25" t="s">
        <v>17</v>
      </c>
      <c r="B84" s="12">
        <v>446</v>
      </c>
      <c r="C84" s="12">
        <v>9.4700000000000006</v>
      </c>
      <c r="D84" s="12">
        <v>317.25</v>
      </c>
      <c r="E84" s="12">
        <f>(Table101213[[#This Row],[Unit Price]]-Table101213[[#This Row],[Unit Cost]])*Table101213[[#This Row],[Units Sold]]</f>
        <v>-137269.87999999998</v>
      </c>
    </row>
    <row r="85" spans="1:5" ht="15" hidden="1" thickBot="1">
      <c r="A85" s="24" t="s">
        <v>22</v>
      </c>
      <c r="B85" s="21">
        <v>167</v>
      </c>
      <c r="C85" s="21">
        <v>296.26</v>
      </c>
      <c r="D85" s="21">
        <v>163.11000000000001</v>
      </c>
      <c r="E85" s="12">
        <f>(Table101213[[#This Row],[Unit Price]]-Table101213[[#This Row],[Unit Cost]])*Table101213[[#This Row],[Units Sold]]</f>
        <v>22236.049999999996</v>
      </c>
    </row>
    <row r="86" spans="1:5" ht="15" hidden="1" thickBot="1">
      <c r="A86" s="25" t="s">
        <v>17</v>
      </c>
      <c r="B86" s="12">
        <v>48</v>
      </c>
      <c r="C86" s="12">
        <v>301.36</v>
      </c>
      <c r="D86" s="12">
        <v>262.32</v>
      </c>
      <c r="E86" s="12">
        <f>(Table101213[[#This Row],[Unit Price]]-Table101213[[#This Row],[Unit Cost]])*Table101213[[#This Row],[Units Sold]]</f>
        <v>1873.920000000001</v>
      </c>
    </row>
    <row r="87" spans="1:5" ht="15" hidden="1" thickBot="1">
      <c r="A87" s="24" t="s">
        <v>11</v>
      </c>
      <c r="B87" s="21">
        <v>424</v>
      </c>
      <c r="C87" s="21">
        <v>201.35</v>
      </c>
      <c r="D87" s="21">
        <v>142.99</v>
      </c>
      <c r="E87" s="12">
        <f>(Table101213[[#This Row],[Unit Price]]-Table101213[[#This Row],[Unit Cost]])*Table101213[[#This Row],[Units Sold]]</f>
        <v>24744.639999999992</v>
      </c>
    </row>
    <row r="88" spans="1:5" ht="15" hidden="1" thickBot="1">
      <c r="A88" s="25" t="s">
        <v>11</v>
      </c>
      <c r="B88" s="12">
        <v>91</v>
      </c>
      <c r="C88" s="12">
        <v>122.33</v>
      </c>
      <c r="D88" s="12">
        <v>211.15</v>
      </c>
      <c r="E88" s="12">
        <f>(Table101213[[#This Row],[Unit Price]]-Table101213[[#This Row],[Unit Cost]])*Table101213[[#This Row],[Units Sold]]</f>
        <v>-8082.6200000000008</v>
      </c>
    </row>
    <row r="89" spans="1:5" ht="15" thickBot="1">
      <c r="A89" s="24" t="s">
        <v>48</v>
      </c>
      <c r="B89" s="21">
        <v>365</v>
      </c>
      <c r="C89" s="21">
        <v>121.16</v>
      </c>
      <c r="D89" s="21">
        <v>193.69</v>
      </c>
      <c r="E89" s="12">
        <f>(Table101213[[#This Row],[Unit Price]]-Table101213[[#This Row],[Unit Cost]])*Table101213[[#This Row],[Units Sold]]</f>
        <v>-26473.45</v>
      </c>
    </row>
    <row r="90" spans="1:5" ht="15" hidden="1" thickBot="1">
      <c r="A90" s="25" t="s">
        <v>22</v>
      </c>
      <c r="B90" s="12">
        <v>267</v>
      </c>
      <c r="C90" s="12">
        <v>442.44</v>
      </c>
      <c r="D90" s="12">
        <v>72.400000000000006</v>
      </c>
      <c r="E90" s="12">
        <f>(Table101213[[#This Row],[Unit Price]]-Table101213[[#This Row],[Unit Cost]])*Table101213[[#This Row],[Units Sold]]</f>
        <v>98800.68</v>
      </c>
    </row>
    <row r="91" spans="1:5" ht="15" hidden="1" thickBot="1">
      <c r="A91" s="24" t="s">
        <v>17</v>
      </c>
      <c r="B91" s="21">
        <v>215</v>
      </c>
      <c r="C91" s="21">
        <v>223.8</v>
      </c>
      <c r="D91" s="21">
        <v>156.06</v>
      </c>
      <c r="E91" s="12">
        <f>(Table101213[[#This Row],[Unit Price]]-Table101213[[#This Row],[Unit Cost]])*Table101213[[#This Row],[Units Sold]]</f>
        <v>14564.100000000002</v>
      </c>
    </row>
    <row r="92" spans="1:5" ht="15" thickBot="1">
      <c r="A92" s="25" t="s">
        <v>48</v>
      </c>
      <c r="B92" s="12">
        <v>86</v>
      </c>
      <c r="C92" s="12">
        <v>168.79</v>
      </c>
      <c r="D92" s="12">
        <v>385.6</v>
      </c>
      <c r="E92" s="12">
        <f>(Table101213[[#This Row],[Unit Price]]-Table101213[[#This Row],[Unit Cost]])*Table101213[[#This Row],[Units Sold]]</f>
        <v>-18645.660000000003</v>
      </c>
    </row>
    <row r="93" spans="1:5" ht="15" hidden="1" thickBot="1">
      <c r="A93" s="24" t="s">
        <v>17</v>
      </c>
      <c r="B93" s="21">
        <v>486</v>
      </c>
      <c r="C93" s="21">
        <v>227.14</v>
      </c>
      <c r="D93" s="21">
        <v>100.93</v>
      </c>
      <c r="E93" s="12">
        <f>(Table101213[[#This Row],[Unit Price]]-Table101213[[#This Row],[Unit Cost]])*Table101213[[#This Row],[Units Sold]]</f>
        <v>61338.05999999999</v>
      </c>
    </row>
    <row r="94" spans="1:5" ht="15" hidden="1" thickBot="1">
      <c r="A94" s="25" t="s">
        <v>17</v>
      </c>
      <c r="B94" s="12">
        <v>21</v>
      </c>
      <c r="C94" s="12"/>
      <c r="D94" s="12">
        <v>55.25</v>
      </c>
      <c r="E94" s="12">
        <f>(Table101213[[#This Row],[Unit Price]]-Table101213[[#This Row],[Unit Cost]])*Table101213[[#This Row],[Units Sold]]</f>
        <v>-1160.25</v>
      </c>
    </row>
    <row r="95" spans="1:5" ht="15" thickBot="1">
      <c r="A95" s="24" t="s">
        <v>48</v>
      </c>
      <c r="B95" s="21">
        <v>304</v>
      </c>
      <c r="C95" s="21">
        <v>77.150000000000006</v>
      </c>
      <c r="D95" s="21">
        <v>168.6</v>
      </c>
      <c r="E95" s="12">
        <f>(Table101213[[#This Row],[Unit Price]]-Table101213[[#This Row],[Unit Cost]])*Table101213[[#This Row],[Units Sold]]</f>
        <v>-27800.799999999996</v>
      </c>
    </row>
    <row r="96" spans="1:5" ht="15" thickBot="1">
      <c r="A96" s="25" t="s">
        <v>48</v>
      </c>
      <c r="B96" s="12">
        <v>459</v>
      </c>
      <c r="C96" s="12">
        <v>227.47</v>
      </c>
      <c r="D96" s="12">
        <v>316.55</v>
      </c>
      <c r="E96" s="12">
        <f>(Table101213[[#This Row],[Unit Price]]-Table101213[[#This Row],[Unit Cost]])*Table101213[[#This Row],[Units Sold]]</f>
        <v>-40887.720000000008</v>
      </c>
    </row>
    <row r="97" spans="1:5" ht="15" thickBot="1">
      <c r="A97" s="24" t="s">
        <v>48</v>
      </c>
      <c r="B97" s="21">
        <v>233</v>
      </c>
      <c r="C97" s="21">
        <v>296</v>
      </c>
      <c r="D97" s="21">
        <v>233.69</v>
      </c>
      <c r="E97" s="12">
        <f>(Table101213[[#This Row],[Unit Price]]-Table101213[[#This Row],[Unit Cost]])*Table101213[[#This Row],[Units Sold]]</f>
        <v>14518.230000000001</v>
      </c>
    </row>
    <row r="98" spans="1:5" ht="15" thickBot="1">
      <c r="A98" s="25" t="s">
        <v>48</v>
      </c>
      <c r="B98" s="12">
        <v>22</v>
      </c>
      <c r="C98" s="12">
        <v>474.55</v>
      </c>
      <c r="D98" s="12">
        <v>273.02999999999997</v>
      </c>
      <c r="E98" s="12">
        <f>(Table101213[[#This Row],[Unit Price]]-Table101213[[#This Row],[Unit Cost]])*Table101213[[#This Row],[Units Sold]]</f>
        <v>4433.4400000000005</v>
      </c>
    </row>
    <row r="99" spans="1:5" ht="15" thickBot="1">
      <c r="A99" s="24" t="s">
        <v>48</v>
      </c>
      <c r="B99" s="21">
        <v>55</v>
      </c>
      <c r="C99" s="21">
        <v>130</v>
      </c>
      <c r="D99" s="21">
        <v>77.5</v>
      </c>
      <c r="E99" s="12">
        <f>(Table101213[[#This Row],[Unit Price]]-Table101213[[#This Row],[Unit Cost]])*Table101213[[#This Row],[Units Sold]]</f>
        <v>2887.5</v>
      </c>
    </row>
    <row r="100" spans="1:5" ht="15" hidden="1" thickBot="1">
      <c r="A100" s="25" t="s">
        <v>17</v>
      </c>
      <c r="B100" s="12">
        <v>164</v>
      </c>
      <c r="C100" s="12">
        <v>182.83</v>
      </c>
      <c r="D100" s="12">
        <v>248.34</v>
      </c>
      <c r="E100" s="12">
        <f>(Table101213[[#This Row],[Unit Price]]-Table101213[[#This Row],[Unit Cost]])*Table101213[[#This Row],[Units Sold]]</f>
        <v>-10743.64</v>
      </c>
    </row>
    <row r="101" spans="1:5" ht="15" thickBot="1">
      <c r="A101" s="24" t="s">
        <v>48</v>
      </c>
      <c r="B101" s="21">
        <v>122</v>
      </c>
      <c r="C101" s="21">
        <v>192.78</v>
      </c>
      <c r="D101" s="21">
        <v>130.75</v>
      </c>
      <c r="E101" s="12">
        <f>(Table101213[[#This Row],[Unit Price]]-Table101213[[#This Row],[Unit Cost]])*Table101213[[#This Row],[Units Sold]]</f>
        <v>7567.66</v>
      </c>
    </row>
    <row r="102" spans="1:5" ht="15" hidden="1" thickBot="1">
      <c r="A102" s="25" t="s">
        <v>22</v>
      </c>
      <c r="B102" s="12">
        <v>242</v>
      </c>
      <c r="C102" s="12">
        <v>304.74</v>
      </c>
      <c r="D102" s="12">
        <v>334.05</v>
      </c>
      <c r="E102" s="12">
        <f>(Table101213[[#This Row],[Unit Price]]-Table101213[[#This Row],[Unit Cost]])*Table101213[[#This Row],[Units Sold]]</f>
        <v>-7093.02</v>
      </c>
    </row>
    <row r="103" spans="1:5" ht="15" hidden="1" thickBot="1">
      <c r="A103" s="24" t="s">
        <v>11</v>
      </c>
      <c r="B103" s="21">
        <v>26</v>
      </c>
      <c r="C103" s="21">
        <v>181.58</v>
      </c>
      <c r="D103" s="21">
        <v>252.46</v>
      </c>
      <c r="E103" s="12">
        <f>(Table101213[[#This Row],[Unit Price]]-Table101213[[#This Row],[Unit Cost]])*Table101213[[#This Row],[Units Sold]]</f>
        <v>-1842.8799999999999</v>
      </c>
    </row>
    <row r="104" spans="1:5" ht="15" thickBot="1">
      <c r="A104" s="25" t="s">
        <v>48</v>
      </c>
      <c r="B104" s="12">
        <v>369</v>
      </c>
      <c r="C104" s="12">
        <v>269.08999999999997</v>
      </c>
      <c r="D104" s="12">
        <v>81.14</v>
      </c>
      <c r="E104" s="12">
        <f>(Table101213[[#This Row],[Unit Price]]-Table101213[[#This Row],[Unit Cost]])*Table101213[[#This Row],[Units Sold]]</f>
        <v>69353.55</v>
      </c>
    </row>
    <row r="105" spans="1:5" ht="15" thickBot="1">
      <c r="A105" s="24" t="s">
        <v>48</v>
      </c>
      <c r="B105" s="21">
        <v>232</v>
      </c>
      <c r="C105" s="21">
        <v>391.99</v>
      </c>
      <c r="D105" s="21">
        <v>27.72</v>
      </c>
      <c r="E105" s="12">
        <f>(Table101213[[#This Row],[Unit Price]]-Table101213[[#This Row],[Unit Cost]])*Table101213[[#This Row],[Units Sold]]</f>
        <v>84510.64</v>
      </c>
    </row>
    <row r="106" spans="1:5" ht="15" hidden="1" thickBot="1">
      <c r="A106" s="25" t="s">
        <v>17</v>
      </c>
      <c r="B106" s="12">
        <v>363</v>
      </c>
      <c r="C106" s="12">
        <v>354.17</v>
      </c>
      <c r="D106" s="12">
        <v>18.97</v>
      </c>
      <c r="E106" s="12">
        <f>(Table101213[[#This Row],[Unit Price]]-Table101213[[#This Row],[Unit Cost]])*Table101213[[#This Row],[Units Sold]]</f>
        <v>121677.60000000002</v>
      </c>
    </row>
    <row r="107" spans="1:5" ht="15" thickBot="1">
      <c r="A107" s="24" t="s">
        <v>48</v>
      </c>
      <c r="B107" s="21">
        <v>197</v>
      </c>
      <c r="C107" s="21">
        <v>225.95</v>
      </c>
      <c r="D107" s="21">
        <v>149.82</v>
      </c>
      <c r="E107" s="12">
        <f>(Table101213[[#This Row],[Unit Price]]-Table101213[[#This Row],[Unit Cost]])*Table101213[[#This Row],[Units Sold]]</f>
        <v>14997.609999999999</v>
      </c>
    </row>
    <row r="108" spans="1:5" ht="15" thickBot="1">
      <c r="A108" s="25" t="s">
        <v>48</v>
      </c>
      <c r="B108" s="12">
        <v>457</v>
      </c>
      <c r="C108" s="12">
        <v>432.79</v>
      </c>
      <c r="D108" s="12">
        <v>107.81</v>
      </c>
      <c r="E108" s="12">
        <f>(Table101213[[#This Row],[Unit Price]]-Table101213[[#This Row],[Unit Cost]])*Table101213[[#This Row],[Units Sold]]</f>
        <v>148515.86000000002</v>
      </c>
    </row>
    <row r="109" spans="1:5" ht="15" thickBot="1">
      <c r="A109" s="24" t="s">
        <v>48</v>
      </c>
      <c r="B109" s="21">
        <v>353</v>
      </c>
      <c r="C109" s="21">
        <v>281.27999999999997</v>
      </c>
      <c r="D109" s="21">
        <v>259.14</v>
      </c>
      <c r="E109" s="12">
        <f>(Table101213[[#This Row],[Unit Price]]-Table101213[[#This Row],[Unit Cost]])*Table101213[[#This Row],[Units Sold]]</f>
        <v>7815.4199999999955</v>
      </c>
    </row>
    <row r="110" spans="1:5" ht="15" hidden="1" thickBot="1">
      <c r="A110" s="25" t="s">
        <v>17</v>
      </c>
      <c r="B110" s="12">
        <v>374</v>
      </c>
      <c r="C110" s="12">
        <v>272.25</v>
      </c>
      <c r="D110" s="12">
        <v>200.73</v>
      </c>
      <c r="E110" s="12">
        <f>(Table101213[[#This Row],[Unit Price]]-Table101213[[#This Row],[Unit Cost]])*Table101213[[#This Row],[Units Sold]]</f>
        <v>26748.480000000003</v>
      </c>
    </row>
    <row r="111" spans="1:5" ht="15" thickBot="1">
      <c r="A111" s="24" t="s">
        <v>48</v>
      </c>
      <c r="B111" s="21">
        <v>172</v>
      </c>
      <c r="C111" s="21">
        <v>21.92</v>
      </c>
      <c r="D111" s="21">
        <v>107.88</v>
      </c>
      <c r="E111" s="12">
        <f>(Table101213[[#This Row],[Unit Price]]-Table101213[[#This Row],[Unit Cost]])*Table101213[[#This Row],[Units Sold]]</f>
        <v>-14785.119999999999</v>
      </c>
    </row>
    <row r="112" spans="1:5" ht="15" hidden="1" thickBot="1">
      <c r="A112" s="25" t="s">
        <v>11</v>
      </c>
      <c r="B112" s="12">
        <v>335</v>
      </c>
      <c r="C112" s="12">
        <v>493.41</v>
      </c>
      <c r="D112" s="12">
        <v>61.4</v>
      </c>
      <c r="E112" s="12">
        <f>(Table101213[[#This Row],[Unit Price]]-Table101213[[#This Row],[Unit Cost]])*Table101213[[#This Row],[Units Sold]]</f>
        <v>144723.35</v>
      </c>
    </row>
    <row r="113" spans="1:5" ht="15" hidden="1" thickBot="1">
      <c r="A113" s="24" t="s">
        <v>17</v>
      </c>
      <c r="B113" s="21">
        <v>476</v>
      </c>
      <c r="C113" s="21">
        <v>65.87</v>
      </c>
      <c r="D113" s="21">
        <v>52.63</v>
      </c>
      <c r="E113" s="12">
        <f>(Table101213[[#This Row],[Unit Price]]-Table101213[[#This Row],[Unit Cost]])*Table101213[[#This Row],[Units Sold]]</f>
        <v>6302.2400000000007</v>
      </c>
    </row>
    <row r="114" spans="1:5" ht="15" hidden="1" thickBot="1">
      <c r="A114" s="25" t="s">
        <v>11</v>
      </c>
      <c r="B114" s="12">
        <v>423</v>
      </c>
      <c r="C114" s="12">
        <v>119.41</v>
      </c>
      <c r="D114" s="12">
        <v>346.13</v>
      </c>
      <c r="E114" s="12">
        <f>(Table101213[[#This Row],[Unit Price]]-Table101213[[#This Row],[Unit Cost]])*Table101213[[#This Row],[Units Sold]]</f>
        <v>-95902.56</v>
      </c>
    </row>
    <row r="115" spans="1:5" ht="15" hidden="1" thickBot="1">
      <c r="A115" s="24" t="s">
        <v>17</v>
      </c>
      <c r="B115" s="21">
        <v>464</v>
      </c>
      <c r="C115" s="21">
        <v>30.59</v>
      </c>
      <c r="D115" s="21">
        <v>98.9</v>
      </c>
      <c r="E115" s="12">
        <f>(Table101213[[#This Row],[Unit Price]]-Table101213[[#This Row],[Unit Cost]])*Table101213[[#This Row],[Units Sold]]</f>
        <v>-31695.84</v>
      </c>
    </row>
    <row r="116" spans="1:5" ht="15" thickBot="1">
      <c r="A116" s="25" t="s">
        <v>48</v>
      </c>
      <c r="B116" s="12">
        <v>83</v>
      </c>
      <c r="C116" s="12">
        <v>321.8</v>
      </c>
      <c r="D116" s="12">
        <v>261.38</v>
      </c>
      <c r="E116" s="12">
        <f>(Table101213[[#This Row],[Unit Price]]-Table101213[[#This Row],[Unit Cost]])*Table101213[[#This Row],[Units Sold]]</f>
        <v>5014.8600000000015</v>
      </c>
    </row>
    <row r="117" spans="1:5" ht="15" hidden="1" thickBot="1">
      <c r="A117" s="24" t="s">
        <v>11</v>
      </c>
      <c r="B117" s="21">
        <v>242</v>
      </c>
      <c r="C117" s="21">
        <v>116.23</v>
      </c>
      <c r="D117" s="21">
        <v>324.64999999999998</v>
      </c>
      <c r="E117" s="12">
        <f>(Table101213[[#This Row],[Unit Price]]-Table101213[[#This Row],[Unit Cost]])*Table101213[[#This Row],[Units Sold]]</f>
        <v>-50437.639999999992</v>
      </c>
    </row>
    <row r="118" spans="1:5" ht="15" hidden="1" thickBot="1">
      <c r="A118" s="25" t="s">
        <v>17</v>
      </c>
      <c r="B118" s="12">
        <v>233</v>
      </c>
      <c r="C118" s="12">
        <v>94.11</v>
      </c>
      <c r="D118" s="12">
        <v>246.4</v>
      </c>
      <c r="E118" s="12">
        <f>(Table101213[[#This Row],[Unit Price]]-Table101213[[#This Row],[Unit Cost]])*Table101213[[#This Row],[Units Sold]]</f>
        <v>-35483.570000000007</v>
      </c>
    </row>
    <row r="119" spans="1:5" ht="15" hidden="1" thickBot="1">
      <c r="A119" s="24" t="s">
        <v>22</v>
      </c>
      <c r="B119" s="21">
        <v>491</v>
      </c>
      <c r="C119" s="21">
        <v>48.84</v>
      </c>
      <c r="D119" s="21">
        <v>344.11</v>
      </c>
      <c r="E119" s="12">
        <f>(Table101213[[#This Row],[Unit Price]]-Table101213[[#This Row],[Unit Cost]])*Table101213[[#This Row],[Units Sold]]</f>
        <v>-144977.56999999998</v>
      </c>
    </row>
    <row r="120" spans="1:5" ht="15" hidden="1" thickBot="1">
      <c r="A120" s="25"/>
      <c r="B120" s="12">
        <v>328</v>
      </c>
      <c r="C120" s="12">
        <v>56.14</v>
      </c>
      <c r="D120" s="12">
        <v>158.16999999999999</v>
      </c>
      <c r="E120" s="12">
        <f>(Table101213[[#This Row],[Unit Price]]-Table101213[[#This Row],[Unit Cost]])*Table101213[[#This Row],[Units Sold]]</f>
        <v>-33465.839999999997</v>
      </c>
    </row>
    <row r="121" spans="1:5" ht="15" hidden="1" thickBot="1">
      <c r="A121" s="24" t="s">
        <v>17</v>
      </c>
      <c r="B121" s="21">
        <v>421</v>
      </c>
      <c r="C121" s="21">
        <v>294.41000000000003</v>
      </c>
      <c r="D121" s="21">
        <v>382.58</v>
      </c>
      <c r="E121" s="12">
        <f>(Table101213[[#This Row],[Unit Price]]-Table101213[[#This Row],[Unit Cost]])*Table101213[[#This Row],[Units Sold]]</f>
        <v>-37119.569999999985</v>
      </c>
    </row>
    <row r="122" spans="1:5" ht="15" hidden="1" thickBot="1">
      <c r="A122" s="25" t="s">
        <v>22</v>
      </c>
      <c r="B122" s="12">
        <v>69</v>
      </c>
      <c r="C122" s="12">
        <v>345.66</v>
      </c>
      <c r="D122" s="12">
        <v>54.99</v>
      </c>
      <c r="E122" s="12">
        <f>(Table101213[[#This Row],[Unit Price]]-Table101213[[#This Row],[Unit Cost]])*Table101213[[#This Row],[Units Sold]]</f>
        <v>20056.23</v>
      </c>
    </row>
    <row r="123" spans="1:5" ht="15" hidden="1" thickBot="1">
      <c r="A123" s="24" t="s">
        <v>17</v>
      </c>
      <c r="B123" s="21">
        <v>344</v>
      </c>
      <c r="C123" s="21">
        <v>201.7</v>
      </c>
      <c r="D123" s="21">
        <v>42.66</v>
      </c>
      <c r="E123" s="12">
        <f>(Table101213[[#This Row],[Unit Price]]-Table101213[[#This Row],[Unit Cost]])*Table101213[[#This Row],[Units Sold]]</f>
        <v>54709.759999999995</v>
      </c>
    </row>
    <row r="124" spans="1:5" ht="15" hidden="1" thickBot="1">
      <c r="A124" s="25"/>
      <c r="B124" s="12">
        <v>231</v>
      </c>
      <c r="C124" s="12">
        <v>242.55</v>
      </c>
      <c r="D124" s="12">
        <v>264.16000000000003</v>
      </c>
      <c r="E124" s="12">
        <f>(Table101213[[#This Row],[Unit Price]]-Table101213[[#This Row],[Unit Cost]])*Table101213[[#This Row],[Units Sold]]</f>
        <v>-4991.9100000000035</v>
      </c>
    </row>
    <row r="125" spans="1:5" ht="15" thickBot="1">
      <c r="A125" s="24" t="s">
        <v>48</v>
      </c>
      <c r="B125" s="21">
        <v>46</v>
      </c>
      <c r="C125" s="21">
        <v>344.55</v>
      </c>
      <c r="D125" s="21">
        <v>377.25</v>
      </c>
      <c r="E125" s="12">
        <f>(Table101213[[#This Row],[Unit Price]]-Table101213[[#This Row],[Unit Cost]])*Table101213[[#This Row],[Units Sold]]</f>
        <v>-1504.1999999999994</v>
      </c>
    </row>
    <row r="126" spans="1:5" ht="15" hidden="1" thickBot="1">
      <c r="A126" s="25" t="s">
        <v>11</v>
      </c>
      <c r="B126" s="12">
        <v>486</v>
      </c>
      <c r="C126" s="12">
        <v>13.6</v>
      </c>
      <c r="D126" s="12">
        <v>323.94</v>
      </c>
      <c r="E126" s="12">
        <f>(Table101213[[#This Row],[Unit Price]]-Table101213[[#This Row],[Unit Cost]])*Table101213[[#This Row],[Units Sold]]</f>
        <v>-150825.24</v>
      </c>
    </row>
    <row r="127" spans="1:5" ht="15" hidden="1" thickBot="1">
      <c r="A127" s="24" t="s">
        <v>22</v>
      </c>
      <c r="B127" s="21">
        <v>287</v>
      </c>
      <c r="C127" s="21">
        <v>164.95</v>
      </c>
      <c r="D127" s="21">
        <v>32.409999999999997</v>
      </c>
      <c r="E127" s="12">
        <f>(Table101213[[#This Row],[Unit Price]]-Table101213[[#This Row],[Unit Cost]])*Table101213[[#This Row],[Units Sold]]</f>
        <v>38038.979999999996</v>
      </c>
    </row>
    <row r="128" spans="1:5" ht="15" hidden="1" thickBot="1">
      <c r="A128" s="25" t="s">
        <v>17</v>
      </c>
      <c r="B128" s="12">
        <v>205</v>
      </c>
      <c r="C128" s="12">
        <v>486.68</v>
      </c>
      <c r="D128" s="12">
        <v>113.19</v>
      </c>
      <c r="E128" s="12">
        <f>(Table101213[[#This Row],[Unit Price]]-Table101213[[#This Row],[Unit Cost]])*Table101213[[#This Row],[Units Sold]]</f>
        <v>76565.45</v>
      </c>
    </row>
    <row r="129" spans="1:5" ht="15" thickBot="1">
      <c r="A129" s="24" t="s">
        <v>48</v>
      </c>
      <c r="B129" s="21">
        <v>413</v>
      </c>
      <c r="C129" s="21">
        <v>292.16000000000003</v>
      </c>
      <c r="D129" s="21">
        <v>372.27</v>
      </c>
      <c r="E129" s="12">
        <f>(Table101213[[#This Row],[Unit Price]]-Table101213[[#This Row],[Unit Cost]])*Table101213[[#This Row],[Units Sold]]</f>
        <v>-33085.429999999986</v>
      </c>
    </row>
    <row r="130" spans="1:5" ht="15" hidden="1" thickBot="1">
      <c r="A130" s="25" t="s">
        <v>22</v>
      </c>
      <c r="B130" s="12">
        <v>361</v>
      </c>
      <c r="C130" s="12">
        <v>130.84</v>
      </c>
      <c r="D130" s="12">
        <v>102.72</v>
      </c>
      <c r="E130" s="12">
        <f>(Table101213[[#This Row],[Unit Price]]-Table101213[[#This Row],[Unit Cost]])*Table101213[[#This Row],[Units Sold]]</f>
        <v>10151.320000000002</v>
      </c>
    </row>
    <row r="131" spans="1:5" ht="15" hidden="1" thickBot="1">
      <c r="A131" s="24" t="s">
        <v>17</v>
      </c>
      <c r="B131" s="21">
        <v>493</v>
      </c>
      <c r="C131" s="21">
        <v>263.26</v>
      </c>
      <c r="D131" s="21">
        <v>312.91000000000003</v>
      </c>
      <c r="E131" s="12">
        <f>(Table101213[[#This Row],[Unit Price]]-Table101213[[#This Row],[Unit Cost]])*Table101213[[#This Row],[Units Sold]]</f>
        <v>-24477.450000000015</v>
      </c>
    </row>
    <row r="132" spans="1:5" ht="15" hidden="1" thickBot="1">
      <c r="A132" s="25" t="s">
        <v>17</v>
      </c>
      <c r="B132" s="12">
        <v>251</v>
      </c>
      <c r="C132" s="12">
        <v>174.61</v>
      </c>
      <c r="D132" s="12">
        <v>330.4</v>
      </c>
      <c r="E132" s="12">
        <f>(Table101213[[#This Row],[Unit Price]]-Table101213[[#This Row],[Unit Cost]])*Table101213[[#This Row],[Units Sold]]</f>
        <v>-39103.289999999994</v>
      </c>
    </row>
    <row r="133" spans="1:5" ht="15" hidden="1" thickBot="1">
      <c r="A133" s="24" t="s">
        <v>17</v>
      </c>
      <c r="B133" s="21"/>
      <c r="C133" s="21">
        <v>268.45999999999998</v>
      </c>
      <c r="D133" s="21">
        <v>199.19</v>
      </c>
      <c r="E133" s="12">
        <f>(Table101213[[#This Row],[Unit Price]]-Table101213[[#This Row],[Unit Cost]])*Table101213[[#This Row],[Units Sold]]</f>
        <v>0</v>
      </c>
    </row>
    <row r="134" spans="1:5" ht="15" hidden="1" thickBot="1">
      <c r="A134" s="25" t="s">
        <v>22</v>
      </c>
      <c r="B134" s="12">
        <v>228</v>
      </c>
      <c r="C134" s="12">
        <v>67.239999999999995</v>
      </c>
      <c r="D134" s="12">
        <v>155.77000000000001</v>
      </c>
      <c r="E134" s="12">
        <f>(Table101213[[#This Row],[Unit Price]]-Table101213[[#This Row],[Unit Cost]])*Table101213[[#This Row],[Units Sold]]</f>
        <v>-20184.840000000004</v>
      </c>
    </row>
    <row r="135" spans="1:5" ht="15" hidden="1" thickBot="1">
      <c r="A135" s="24" t="s">
        <v>22</v>
      </c>
      <c r="B135" s="21">
        <v>201</v>
      </c>
      <c r="C135" s="21">
        <v>70.69</v>
      </c>
      <c r="D135" s="21">
        <v>181.15</v>
      </c>
      <c r="E135" s="12">
        <f>(Table101213[[#This Row],[Unit Price]]-Table101213[[#This Row],[Unit Cost]])*Table101213[[#This Row],[Units Sold]]</f>
        <v>-22202.460000000003</v>
      </c>
    </row>
    <row r="136" spans="1:5" ht="15" hidden="1" thickBot="1">
      <c r="A136" s="25" t="s">
        <v>22</v>
      </c>
      <c r="B136" s="12">
        <v>26</v>
      </c>
      <c r="C136" s="12">
        <v>76.05</v>
      </c>
      <c r="D136" s="12">
        <v>92.33</v>
      </c>
      <c r="E136" s="12">
        <f>(Table101213[[#This Row],[Unit Price]]-Table101213[[#This Row],[Unit Cost]])*Table101213[[#This Row],[Units Sold]]</f>
        <v>-423.28000000000003</v>
      </c>
    </row>
    <row r="137" spans="1:5" ht="15" hidden="1" thickBot="1">
      <c r="A137" s="24" t="s">
        <v>11</v>
      </c>
      <c r="B137" s="21">
        <v>21</v>
      </c>
      <c r="C137" s="21">
        <v>470.21</v>
      </c>
      <c r="D137" s="21">
        <v>355.98</v>
      </c>
      <c r="E137" s="12">
        <f>(Table101213[[#This Row],[Unit Price]]-Table101213[[#This Row],[Unit Cost]])*Table101213[[#This Row],[Units Sold]]</f>
        <v>2398.829999999999</v>
      </c>
    </row>
    <row r="138" spans="1:5" ht="15" hidden="1" thickBot="1">
      <c r="A138" s="25" t="s">
        <v>22</v>
      </c>
      <c r="B138" s="12">
        <v>415</v>
      </c>
      <c r="C138" s="12">
        <v>367.78</v>
      </c>
      <c r="D138" s="12">
        <v>181.35</v>
      </c>
      <c r="E138" s="12">
        <f>(Table101213[[#This Row],[Unit Price]]-Table101213[[#This Row],[Unit Cost]])*Table101213[[#This Row],[Units Sold]]</f>
        <v>77368.45</v>
      </c>
    </row>
    <row r="139" spans="1:5" ht="15" hidden="1" thickBot="1">
      <c r="A139" s="24" t="s">
        <v>22</v>
      </c>
      <c r="B139" s="21">
        <v>410</v>
      </c>
      <c r="C139" s="21">
        <v>85.38</v>
      </c>
      <c r="D139" s="21">
        <v>353.22</v>
      </c>
      <c r="E139" s="12">
        <f>(Table101213[[#This Row],[Unit Price]]-Table101213[[#This Row],[Unit Cost]])*Table101213[[#This Row],[Units Sold]]</f>
        <v>-109814.40000000001</v>
      </c>
    </row>
    <row r="140" spans="1:5" ht="15" hidden="1" thickBot="1">
      <c r="A140" s="25" t="s">
        <v>22</v>
      </c>
      <c r="B140" s="12">
        <v>403</v>
      </c>
      <c r="C140" s="12">
        <v>98.23</v>
      </c>
      <c r="D140" s="12">
        <v>44.07</v>
      </c>
      <c r="E140" s="12">
        <f>(Table101213[[#This Row],[Unit Price]]-Table101213[[#This Row],[Unit Cost]])*Table101213[[#This Row],[Units Sold]]</f>
        <v>21826.480000000003</v>
      </c>
    </row>
    <row r="141" spans="1:5" ht="15" hidden="1" thickBot="1">
      <c r="A141" s="24" t="s">
        <v>11</v>
      </c>
      <c r="B141" s="21">
        <v>383</v>
      </c>
      <c r="C141" s="21">
        <v>366.76</v>
      </c>
      <c r="D141" s="21">
        <v>395.33</v>
      </c>
      <c r="E141" s="12">
        <f>(Table101213[[#This Row],[Unit Price]]-Table101213[[#This Row],[Unit Cost]])*Table101213[[#This Row],[Units Sold]]</f>
        <v>-10942.309999999998</v>
      </c>
    </row>
    <row r="142" spans="1:5" ht="15" hidden="1" thickBot="1">
      <c r="A142" s="25" t="s">
        <v>22</v>
      </c>
      <c r="B142" s="12">
        <v>202</v>
      </c>
      <c r="C142" s="12">
        <v>82.3</v>
      </c>
      <c r="D142" s="12">
        <v>178.42</v>
      </c>
      <c r="E142" s="12">
        <f>(Table101213[[#This Row],[Unit Price]]-Table101213[[#This Row],[Unit Cost]])*Table101213[[#This Row],[Units Sold]]</f>
        <v>-19416.239999999998</v>
      </c>
    </row>
    <row r="143" spans="1:5" ht="15" hidden="1" thickBot="1">
      <c r="A143" s="24" t="s">
        <v>17</v>
      </c>
      <c r="B143" s="21">
        <v>31</v>
      </c>
      <c r="C143" s="21">
        <v>121.11</v>
      </c>
      <c r="D143" s="21">
        <v>21.04</v>
      </c>
      <c r="E143" s="12">
        <f>(Table101213[[#This Row],[Unit Price]]-Table101213[[#This Row],[Unit Cost]])*Table101213[[#This Row],[Units Sold]]</f>
        <v>3102.1699999999996</v>
      </c>
    </row>
    <row r="144" spans="1:5" ht="15" hidden="1" thickBot="1">
      <c r="A144" s="25" t="s">
        <v>22</v>
      </c>
      <c r="B144" s="12">
        <v>483</v>
      </c>
      <c r="C144" s="12">
        <v>481.86</v>
      </c>
      <c r="D144" s="12">
        <v>17.13</v>
      </c>
      <c r="E144" s="12">
        <f>(Table101213[[#This Row],[Unit Price]]-Table101213[[#This Row],[Unit Cost]])*Table101213[[#This Row],[Units Sold]]</f>
        <v>224464.59</v>
      </c>
    </row>
    <row r="145" spans="1:5" ht="15" hidden="1" thickBot="1">
      <c r="A145" s="24" t="s">
        <v>17</v>
      </c>
      <c r="B145" s="21">
        <v>129</v>
      </c>
      <c r="C145" s="21">
        <v>131.38</v>
      </c>
      <c r="D145" s="21">
        <v>298.99</v>
      </c>
      <c r="E145" s="12">
        <f>(Table101213[[#This Row],[Unit Price]]-Table101213[[#This Row],[Unit Cost]])*Table101213[[#This Row],[Units Sold]]</f>
        <v>-21621.690000000002</v>
      </c>
    </row>
    <row r="146" spans="1:5" ht="15" hidden="1" thickBot="1">
      <c r="A146" s="25" t="s">
        <v>17</v>
      </c>
      <c r="B146" s="12">
        <v>219</v>
      </c>
      <c r="C146" s="12">
        <v>332.51</v>
      </c>
      <c r="D146" s="12">
        <v>264.3</v>
      </c>
      <c r="E146" s="12">
        <f>(Table101213[[#This Row],[Unit Price]]-Table101213[[#This Row],[Unit Cost]])*Table101213[[#This Row],[Units Sold]]</f>
        <v>14937.989999999996</v>
      </c>
    </row>
    <row r="147" spans="1:5" ht="15" hidden="1" thickBot="1">
      <c r="A147" s="24" t="s">
        <v>17</v>
      </c>
      <c r="B147" s="21">
        <v>315</v>
      </c>
      <c r="C147" s="21">
        <v>489.42</v>
      </c>
      <c r="D147" s="21">
        <v>321.25</v>
      </c>
      <c r="E147" s="12">
        <f>(Table101213[[#This Row],[Unit Price]]-Table101213[[#This Row],[Unit Cost]])*Table101213[[#This Row],[Units Sold]]</f>
        <v>52973.55</v>
      </c>
    </row>
    <row r="148" spans="1:5" ht="15" hidden="1" thickBot="1">
      <c r="A148" s="25" t="s">
        <v>11</v>
      </c>
      <c r="B148" s="12">
        <v>279</v>
      </c>
      <c r="C148" s="12">
        <v>190.28</v>
      </c>
      <c r="D148" s="12">
        <v>43.94</v>
      </c>
      <c r="E148" s="12">
        <f>(Table101213[[#This Row],[Unit Price]]-Table101213[[#This Row],[Unit Cost]])*Table101213[[#This Row],[Units Sold]]</f>
        <v>40828.86</v>
      </c>
    </row>
    <row r="149" spans="1:5" ht="15" hidden="1" thickBot="1">
      <c r="A149" s="24" t="s">
        <v>11</v>
      </c>
      <c r="B149" s="21">
        <v>201</v>
      </c>
      <c r="C149" s="21">
        <v>13.67</v>
      </c>
      <c r="D149" s="21">
        <v>16.16</v>
      </c>
      <c r="E149" s="12">
        <f>(Table101213[[#This Row],[Unit Price]]-Table101213[[#This Row],[Unit Cost]])*Table101213[[#This Row],[Units Sold]]</f>
        <v>-500.49000000000007</v>
      </c>
    </row>
    <row r="150" spans="1:5" ht="15" hidden="1" thickBot="1">
      <c r="A150" s="25" t="s">
        <v>11</v>
      </c>
      <c r="B150" s="12">
        <v>184</v>
      </c>
      <c r="C150" s="12">
        <v>125.85</v>
      </c>
      <c r="D150" s="12">
        <v>204.41</v>
      </c>
      <c r="E150" s="12">
        <f>(Table101213[[#This Row],[Unit Price]]-Table101213[[#This Row],[Unit Cost]])*Table101213[[#This Row],[Units Sold]]</f>
        <v>-14455.04</v>
      </c>
    </row>
    <row r="151" spans="1:5" ht="15" hidden="1" thickBot="1">
      <c r="A151" s="24" t="s">
        <v>22</v>
      </c>
      <c r="B151" s="21">
        <v>294</v>
      </c>
      <c r="C151" s="21">
        <v>416.28</v>
      </c>
      <c r="D151" s="21">
        <v>156.26</v>
      </c>
      <c r="E151" s="12">
        <f>(Table101213[[#This Row],[Unit Price]]-Table101213[[#This Row],[Unit Cost]])*Table101213[[#This Row],[Units Sold]]</f>
        <v>76445.87999999999</v>
      </c>
    </row>
    <row r="152" spans="1:5" ht="15" hidden="1" thickBot="1">
      <c r="A152" s="25" t="s">
        <v>17</v>
      </c>
      <c r="B152" s="12">
        <v>213</v>
      </c>
      <c r="C152" s="12">
        <v>432.98</v>
      </c>
      <c r="D152" s="12">
        <v>185.85</v>
      </c>
      <c r="E152" s="12">
        <f>(Table101213[[#This Row],[Unit Price]]-Table101213[[#This Row],[Unit Cost]])*Table101213[[#This Row],[Units Sold]]</f>
        <v>52638.69</v>
      </c>
    </row>
    <row r="153" spans="1:5" ht="15" hidden="1" thickBot="1">
      <c r="A153" s="24" t="s">
        <v>11</v>
      </c>
      <c r="B153" s="21">
        <v>173</v>
      </c>
      <c r="C153" s="21">
        <v>385.42</v>
      </c>
      <c r="D153" s="21">
        <v>396.65</v>
      </c>
      <c r="E153" s="12">
        <f>(Table101213[[#This Row],[Unit Price]]-Table101213[[#This Row],[Unit Cost]])*Table101213[[#This Row],[Units Sold]]</f>
        <v>-1942.7899999999934</v>
      </c>
    </row>
    <row r="154" spans="1:5" ht="15" hidden="1" thickBot="1">
      <c r="A154" s="25" t="s">
        <v>11</v>
      </c>
      <c r="B154" s="12">
        <v>260</v>
      </c>
      <c r="C154" s="12">
        <v>60.99</v>
      </c>
      <c r="D154" s="12">
        <v>388.36</v>
      </c>
      <c r="E154" s="12">
        <f>(Table101213[[#This Row],[Unit Price]]-Table101213[[#This Row],[Unit Cost]])*Table101213[[#This Row],[Units Sold]]</f>
        <v>-85116.2</v>
      </c>
    </row>
    <row r="155" spans="1:5" ht="15" hidden="1" thickBot="1">
      <c r="A155" s="24" t="s">
        <v>22</v>
      </c>
      <c r="B155" s="21">
        <v>236</v>
      </c>
      <c r="C155" s="21">
        <v>398.78</v>
      </c>
      <c r="D155" s="21">
        <v>377.04</v>
      </c>
      <c r="E155" s="12">
        <f>(Table101213[[#This Row],[Unit Price]]-Table101213[[#This Row],[Unit Cost]])*Table101213[[#This Row],[Units Sold]]</f>
        <v>5130.6399999999885</v>
      </c>
    </row>
    <row r="156" spans="1:5" ht="15" hidden="1" thickBot="1">
      <c r="A156" s="25" t="s">
        <v>11</v>
      </c>
      <c r="B156" s="12">
        <v>445</v>
      </c>
      <c r="C156" s="12">
        <v>459.75</v>
      </c>
      <c r="D156" s="12">
        <v>313.97000000000003</v>
      </c>
      <c r="E156" s="12">
        <f>(Table101213[[#This Row],[Unit Price]]-Table101213[[#This Row],[Unit Cost]])*Table101213[[#This Row],[Units Sold]]</f>
        <v>64872.099999999991</v>
      </c>
    </row>
    <row r="157" spans="1:5" ht="15" hidden="1" thickBot="1">
      <c r="A157" s="24" t="s">
        <v>22</v>
      </c>
      <c r="B157" s="21">
        <v>390</v>
      </c>
      <c r="C157" s="21">
        <v>302.3</v>
      </c>
      <c r="D157" s="21">
        <v>143.22999999999999</v>
      </c>
      <c r="E157" s="12">
        <f>(Table101213[[#This Row],[Unit Price]]-Table101213[[#This Row],[Unit Cost]])*Table101213[[#This Row],[Units Sold]]</f>
        <v>62037.30000000001</v>
      </c>
    </row>
    <row r="158" spans="1:5" ht="15" thickBot="1">
      <c r="A158" s="25" t="s">
        <v>48</v>
      </c>
      <c r="B158" s="12">
        <v>469</v>
      </c>
      <c r="C158" s="12">
        <v>470.73</v>
      </c>
      <c r="D158" s="12">
        <v>166.03</v>
      </c>
      <c r="E158" s="12">
        <f>(Table101213[[#This Row],[Unit Price]]-Table101213[[#This Row],[Unit Cost]])*Table101213[[#This Row],[Units Sold]]</f>
        <v>142904.30000000002</v>
      </c>
    </row>
    <row r="159" spans="1:5" ht="15" hidden="1" thickBot="1">
      <c r="A159" s="24" t="s">
        <v>11</v>
      </c>
      <c r="B159" s="21">
        <v>16</v>
      </c>
      <c r="C159" s="21"/>
      <c r="D159" s="21">
        <v>220.75</v>
      </c>
      <c r="E159" s="12">
        <f>(Table101213[[#This Row],[Unit Price]]-Table101213[[#This Row],[Unit Cost]])*Table101213[[#This Row],[Units Sold]]</f>
        <v>-3532</v>
      </c>
    </row>
    <row r="160" spans="1:5" ht="15" thickBot="1">
      <c r="A160" s="25" t="s">
        <v>48</v>
      </c>
      <c r="B160" s="12">
        <v>38</v>
      </c>
      <c r="C160" s="12">
        <v>335.15</v>
      </c>
      <c r="D160" s="12">
        <v>332.55</v>
      </c>
      <c r="E160" s="12">
        <f>(Table101213[[#This Row],[Unit Price]]-Table101213[[#This Row],[Unit Cost]])*Table101213[[#This Row],[Units Sold]]</f>
        <v>98.799999999998704</v>
      </c>
    </row>
    <row r="161" spans="1:5" ht="15" hidden="1" thickBot="1">
      <c r="A161" s="24" t="s">
        <v>22</v>
      </c>
      <c r="B161" s="21">
        <v>404</v>
      </c>
      <c r="C161" s="21">
        <v>290.70999999999998</v>
      </c>
      <c r="D161" s="21">
        <v>29.35</v>
      </c>
      <c r="E161" s="12">
        <f>(Table101213[[#This Row],[Unit Price]]-Table101213[[#This Row],[Unit Cost]])*Table101213[[#This Row],[Units Sold]]</f>
        <v>105589.43999999999</v>
      </c>
    </row>
    <row r="162" spans="1:5" ht="15" hidden="1" thickBot="1">
      <c r="A162" s="25" t="s">
        <v>17</v>
      </c>
      <c r="B162" s="12">
        <v>42</v>
      </c>
      <c r="C162" s="12">
        <v>177.54</v>
      </c>
      <c r="D162" s="12">
        <v>170.87</v>
      </c>
      <c r="E162" s="12">
        <f>(Table101213[[#This Row],[Unit Price]]-Table101213[[#This Row],[Unit Cost]])*Table101213[[#This Row],[Units Sold]]</f>
        <v>280.13999999999947</v>
      </c>
    </row>
    <row r="163" spans="1:5" ht="15" hidden="1" thickBot="1">
      <c r="A163" s="24" t="s">
        <v>11</v>
      </c>
      <c r="B163" s="21">
        <v>143</v>
      </c>
      <c r="C163" s="21">
        <v>83.85</v>
      </c>
      <c r="D163" s="21">
        <v>34.880000000000003</v>
      </c>
      <c r="E163" s="12">
        <f>(Table101213[[#This Row],[Unit Price]]-Table101213[[#This Row],[Unit Cost]])*Table101213[[#This Row],[Units Sold]]</f>
        <v>7002.7099999999991</v>
      </c>
    </row>
    <row r="164" spans="1:5" ht="15" hidden="1" thickBot="1">
      <c r="A164" s="25" t="s">
        <v>22</v>
      </c>
      <c r="B164" s="12">
        <v>376</v>
      </c>
      <c r="C164" s="12">
        <v>304.45</v>
      </c>
      <c r="D164" s="12">
        <v>206.83</v>
      </c>
      <c r="E164" s="12">
        <f>(Table101213[[#This Row],[Unit Price]]-Table101213[[#This Row],[Unit Cost]])*Table101213[[#This Row],[Units Sold]]</f>
        <v>36705.119999999988</v>
      </c>
    </row>
    <row r="165" spans="1:5" ht="15" hidden="1" thickBot="1">
      <c r="A165" s="24" t="s">
        <v>17</v>
      </c>
      <c r="B165" s="21">
        <v>88</v>
      </c>
      <c r="C165" s="21">
        <v>162.47</v>
      </c>
      <c r="D165" s="21">
        <v>359.76</v>
      </c>
      <c r="E165" s="12">
        <f>(Table101213[[#This Row],[Unit Price]]-Table101213[[#This Row],[Unit Cost]])*Table101213[[#This Row],[Units Sold]]</f>
        <v>-17361.52</v>
      </c>
    </row>
    <row r="166" spans="1:5" ht="15" hidden="1" thickBot="1">
      <c r="A166" s="25" t="s">
        <v>17</v>
      </c>
      <c r="B166" s="12">
        <v>425</v>
      </c>
      <c r="C166" s="12">
        <v>433.89</v>
      </c>
      <c r="D166" s="12">
        <v>313.43</v>
      </c>
      <c r="E166" s="12">
        <f>(Table101213[[#This Row],[Unit Price]]-Table101213[[#This Row],[Unit Cost]])*Table101213[[#This Row],[Units Sold]]</f>
        <v>51195.499999999993</v>
      </c>
    </row>
    <row r="167" spans="1:5" ht="15" thickBot="1">
      <c r="A167" s="24" t="s">
        <v>48</v>
      </c>
      <c r="B167" s="21">
        <v>444</v>
      </c>
      <c r="C167" s="21">
        <v>496.7</v>
      </c>
      <c r="D167" s="21">
        <v>92.68</v>
      </c>
      <c r="E167" s="12">
        <f>(Table101213[[#This Row],[Unit Price]]-Table101213[[#This Row],[Unit Cost]])*Table101213[[#This Row],[Units Sold]]</f>
        <v>179384.88</v>
      </c>
    </row>
    <row r="168" spans="1:5" ht="15" hidden="1" thickBot="1">
      <c r="A168" s="25" t="s">
        <v>22</v>
      </c>
      <c r="B168" s="12">
        <v>468</v>
      </c>
      <c r="C168" s="12">
        <v>377.45</v>
      </c>
      <c r="D168" s="12">
        <v>390.44</v>
      </c>
      <c r="E168" s="12">
        <f>(Table101213[[#This Row],[Unit Price]]-Table101213[[#This Row],[Unit Cost]])*Table101213[[#This Row],[Units Sold]]</f>
        <v>-6079.3200000000043</v>
      </c>
    </row>
    <row r="169" spans="1:5" ht="15" hidden="1" thickBot="1">
      <c r="A169" s="24" t="s">
        <v>17</v>
      </c>
      <c r="B169" s="21">
        <v>67</v>
      </c>
      <c r="C169" s="21">
        <v>49.79</v>
      </c>
      <c r="D169" s="21">
        <v>267.61</v>
      </c>
      <c r="E169" s="12">
        <f>(Table101213[[#This Row],[Unit Price]]-Table101213[[#This Row],[Unit Cost]])*Table101213[[#This Row],[Units Sold]]</f>
        <v>-14593.940000000002</v>
      </c>
    </row>
    <row r="170" spans="1:5" ht="15" hidden="1" thickBot="1">
      <c r="A170" s="25" t="s">
        <v>11</v>
      </c>
      <c r="B170" s="12">
        <v>480</v>
      </c>
      <c r="C170" s="12">
        <v>147.9</v>
      </c>
      <c r="D170" s="12">
        <v>6.15</v>
      </c>
      <c r="E170" s="12">
        <f>(Table101213[[#This Row],[Unit Price]]-Table101213[[#This Row],[Unit Cost]])*Table101213[[#This Row],[Units Sold]]</f>
        <v>68040</v>
      </c>
    </row>
    <row r="171" spans="1:5" ht="15" hidden="1" thickBot="1">
      <c r="A171" s="24" t="s">
        <v>11</v>
      </c>
      <c r="B171" s="21">
        <v>35</v>
      </c>
      <c r="C171" s="21">
        <v>59.01</v>
      </c>
      <c r="D171" s="21">
        <v>103.65</v>
      </c>
      <c r="E171" s="12">
        <f>(Table101213[[#This Row],[Unit Price]]-Table101213[[#This Row],[Unit Cost]])*Table101213[[#This Row],[Units Sold]]</f>
        <v>-1562.4000000000003</v>
      </c>
    </row>
    <row r="172" spans="1:5" ht="15" thickBot="1">
      <c r="A172" s="25" t="s">
        <v>48</v>
      </c>
      <c r="B172" s="12">
        <v>491</v>
      </c>
      <c r="C172" s="12">
        <v>327</v>
      </c>
      <c r="D172" s="12">
        <v>105.76</v>
      </c>
      <c r="E172" s="12">
        <f>(Table101213[[#This Row],[Unit Price]]-Table101213[[#This Row],[Unit Cost]])*Table101213[[#This Row],[Units Sold]]</f>
        <v>108628.84000000001</v>
      </c>
    </row>
    <row r="173" spans="1:5" ht="15" hidden="1" thickBot="1">
      <c r="A173" s="24" t="s">
        <v>17</v>
      </c>
      <c r="B173" s="21">
        <v>439</v>
      </c>
      <c r="C173" s="21">
        <v>383.77</v>
      </c>
      <c r="D173" s="21">
        <v>29.56</v>
      </c>
      <c r="E173" s="12">
        <f>(Table101213[[#This Row],[Unit Price]]-Table101213[[#This Row],[Unit Cost]])*Table101213[[#This Row],[Units Sold]]</f>
        <v>155498.19</v>
      </c>
    </row>
    <row r="174" spans="1:5" ht="15" hidden="1" thickBot="1">
      <c r="A174" s="25" t="s">
        <v>22</v>
      </c>
      <c r="B174" s="12">
        <v>235</v>
      </c>
      <c r="C174" s="12">
        <v>463.21</v>
      </c>
      <c r="D174" s="12">
        <v>384.01</v>
      </c>
      <c r="E174" s="12">
        <f>(Table101213[[#This Row],[Unit Price]]-Table101213[[#This Row],[Unit Cost]])*Table101213[[#This Row],[Units Sold]]</f>
        <v>18611.999999999996</v>
      </c>
    </row>
    <row r="175" spans="1:5" ht="15" hidden="1" thickBot="1">
      <c r="A175" s="24" t="s">
        <v>11</v>
      </c>
      <c r="B175" s="21">
        <v>294</v>
      </c>
      <c r="C175" s="21">
        <v>221.9</v>
      </c>
      <c r="D175" s="21">
        <v>192.35</v>
      </c>
      <c r="E175" s="12">
        <f>(Table101213[[#This Row],[Unit Price]]-Table101213[[#This Row],[Unit Cost]])*Table101213[[#This Row],[Units Sold]]</f>
        <v>8687.7000000000025</v>
      </c>
    </row>
    <row r="176" spans="1:5" ht="15" hidden="1" thickBot="1">
      <c r="A176" s="25" t="s">
        <v>17</v>
      </c>
      <c r="B176" s="12">
        <v>13</v>
      </c>
      <c r="C176" s="12">
        <v>451.18</v>
      </c>
      <c r="D176" s="12">
        <v>358.53</v>
      </c>
      <c r="E176" s="12">
        <f>(Table101213[[#This Row],[Unit Price]]-Table101213[[#This Row],[Unit Cost]])*Table101213[[#This Row],[Units Sold]]</f>
        <v>1204.4500000000005</v>
      </c>
    </row>
    <row r="177" spans="1:5" ht="15" hidden="1" thickBot="1">
      <c r="A177" s="24" t="s">
        <v>17</v>
      </c>
      <c r="B177" s="21">
        <v>474</v>
      </c>
      <c r="C177" s="21">
        <v>439.56</v>
      </c>
      <c r="D177" s="21">
        <v>130.24</v>
      </c>
      <c r="E177" s="12">
        <f>(Table101213[[#This Row],[Unit Price]]-Table101213[[#This Row],[Unit Cost]])*Table101213[[#This Row],[Units Sold]]</f>
        <v>146617.68</v>
      </c>
    </row>
    <row r="178" spans="1:5" ht="15" thickBot="1">
      <c r="A178" s="25" t="s">
        <v>48</v>
      </c>
      <c r="B178" s="12">
        <v>108</v>
      </c>
      <c r="C178" s="12">
        <v>162.01</v>
      </c>
      <c r="D178" s="12">
        <v>51.84</v>
      </c>
      <c r="E178" s="12">
        <f>(Table101213[[#This Row],[Unit Price]]-Table101213[[#This Row],[Unit Cost]])*Table101213[[#This Row],[Units Sold]]</f>
        <v>11898.359999999999</v>
      </c>
    </row>
    <row r="179" spans="1:5" ht="15" hidden="1" thickBot="1">
      <c r="A179" s="24" t="s">
        <v>11</v>
      </c>
      <c r="B179" s="21">
        <v>406</v>
      </c>
      <c r="C179" s="21">
        <v>435.11</v>
      </c>
      <c r="D179" s="21">
        <v>190.79</v>
      </c>
      <c r="E179" s="12">
        <f>(Table101213[[#This Row],[Unit Price]]-Table101213[[#This Row],[Unit Cost]])*Table101213[[#This Row],[Units Sold]]</f>
        <v>99193.920000000013</v>
      </c>
    </row>
    <row r="180" spans="1:5" ht="15" hidden="1" thickBot="1">
      <c r="A180" s="25" t="s">
        <v>11</v>
      </c>
      <c r="B180" s="12">
        <v>498</v>
      </c>
      <c r="C180" s="12">
        <v>190.96</v>
      </c>
      <c r="D180" s="12">
        <v>47.35</v>
      </c>
      <c r="E180" s="12">
        <f>(Table101213[[#This Row],[Unit Price]]-Table101213[[#This Row],[Unit Cost]])*Table101213[[#This Row],[Units Sold]]</f>
        <v>71517.780000000013</v>
      </c>
    </row>
    <row r="181" spans="1:5" ht="15" hidden="1" thickBot="1">
      <c r="A181" s="24" t="s">
        <v>22</v>
      </c>
      <c r="B181" s="21">
        <v>48</v>
      </c>
      <c r="C181" s="21">
        <v>151.94999999999999</v>
      </c>
      <c r="D181" s="21">
        <v>195.43</v>
      </c>
      <c r="E181" s="12">
        <f>(Table101213[[#This Row],[Unit Price]]-Table101213[[#This Row],[Unit Cost]])*Table101213[[#This Row],[Units Sold]]</f>
        <v>-2087.0400000000009</v>
      </c>
    </row>
    <row r="182" spans="1:5" ht="15" hidden="1" thickBot="1">
      <c r="A182" s="25" t="s">
        <v>11</v>
      </c>
      <c r="B182" s="12">
        <v>280</v>
      </c>
      <c r="C182" s="12">
        <v>326.29000000000002</v>
      </c>
      <c r="D182" s="12">
        <v>368.28</v>
      </c>
      <c r="E182" s="12">
        <f>(Table101213[[#This Row],[Unit Price]]-Table101213[[#This Row],[Unit Cost]])*Table101213[[#This Row],[Units Sold]]</f>
        <v>-11757.199999999986</v>
      </c>
    </row>
    <row r="183" spans="1:5" ht="15" hidden="1" thickBot="1">
      <c r="A183" s="24" t="s">
        <v>22</v>
      </c>
      <c r="B183" s="21">
        <v>384</v>
      </c>
      <c r="C183" s="21">
        <v>167.55</v>
      </c>
      <c r="D183" s="21">
        <v>209.27</v>
      </c>
      <c r="E183" s="12">
        <f>(Table101213[[#This Row],[Unit Price]]-Table101213[[#This Row],[Unit Cost]])*Table101213[[#This Row],[Units Sold]]</f>
        <v>-16020.48</v>
      </c>
    </row>
    <row r="184" spans="1:5" ht="15" hidden="1" thickBot="1">
      <c r="A184" s="25" t="s">
        <v>11</v>
      </c>
      <c r="B184" s="12">
        <v>294</v>
      </c>
      <c r="C184" s="12">
        <v>316.95</v>
      </c>
      <c r="D184" s="12">
        <v>247.37</v>
      </c>
      <c r="E184" s="12">
        <f>(Table101213[[#This Row],[Unit Price]]-Table101213[[#This Row],[Unit Cost]])*Table101213[[#This Row],[Units Sold]]</f>
        <v>20456.519999999997</v>
      </c>
    </row>
    <row r="185" spans="1:5" ht="15" thickBot="1">
      <c r="A185" s="24" t="s">
        <v>48</v>
      </c>
      <c r="B185" s="21">
        <v>166</v>
      </c>
      <c r="C185" s="21">
        <v>306.87</v>
      </c>
      <c r="D185" s="21">
        <v>64.34</v>
      </c>
      <c r="E185" s="12">
        <f>(Table101213[[#This Row],[Unit Price]]-Table101213[[#This Row],[Unit Cost]])*Table101213[[#This Row],[Units Sold]]</f>
        <v>40259.980000000003</v>
      </c>
    </row>
    <row r="186" spans="1:5" ht="15" hidden="1" thickBot="1">
      <c r="A186" s="25" t="s">
        <v>11</v>
      </c>
      <c r="B186" s="12">
        <v>84</v>
      </c>
      <c r="C186" s="12">
        <v>283.89999999999998</v>
      </c>
      <c r="D186" s="12">
        <v>19.41</v>
      </c>
      <c r="E186" s="12">
        <f>(Table101213[[#This Row],[Unit Price]]-Table101213[[#This Row],[Unit Cost]])*Table101213[[#This Row],[Units Sold]]</f>
        <v>22217.159999999996</v>
      </c>
    </row>
    <row r="187" spans="1:5" ht="15" hidden="1" thickBot="1">
      <c r="A187" s="24" t="s">
        <v>22</v>
      </c>
      <c r="B187" s="21">
        <v>381</v>
      </c>
      <c r="C187" s="21">
        <v>193.31</v>
      </c>
      <c r="D187" s="21">
        <v>46.1</v>
      </c>
      <c r="E187" s="12">
        <f>(Table101213[[#This Row],[Unit Price]]-Table101213[[#This Row],[Unit Cost]])*Table101213[[#This Row],[Units Sold]]</f>
        <v>56087.01</v>
      </c>
    </row>
    <row r="188" spans="1:5" ht="15" hidden="1" thickBot="1">
      <c r="A188" s="25" t="s">
        <v>22</v>
      </c>
      <c r="B188" s="12">
        <v>297</v>
      </c>
      <c r="C188" s="12">
        <v>276.51</v>
      </c>
      <c r="D188" s="12">
        <v>240.22</v>
      </c>
      <c r="E188" s="12">
        <f>(Table101213[[#This Row],[Unit Price]]-Table101213[[#This Row],[Unit Cost]])*Table101213[[#This Row],[Units Sold]]</f>
        <v>10778.129999999997</v>
      </c>
    </row>
    <row r="189" spans="1:5" ht="15" thickBot="1">
      <c r="A189" s="24" t="s">
        <v>48</v>
      </c>
      <c r="B189" s="21">
        <v>139</v>
      </c>
      <c r="C189" s="21">
        <v>300.26</v>
      </c>
      <c r="D189" s="21">
        <v>39.81</v>
      </c>
      <c r="E189" s="12">
        <f>(Table101213[[#This Row],[Unit Price]]-Table101213[[#This Row],[Unit Cost]])*Table101213[[#This Row],[Units Sold]]</f>
        <v>36202.549999999996</v>
      </c>
    </row>
    <row r="190" spans="1:5" ht="15" hidden="1" thickBot="1">
      <c r="A190" s="25" t="s">
        <v>11</v>
      </c>
      <c r="B190" s="12">
        <v>184</v>
      </c>
      <c r="C190" s="12">
        <v>275.12</v>
      </c>
      <c r="D190" s="12">
        <v>151.65</v>
      </c>
      <c r="E190" s="12">
        <f>(Table101213[[#This Row],[Unit Price]]-Table101213[[#This Row],[Unit Cost]])*Table101213[[#This Row],[Units Sold]]</f>
        <v>22718.48</v>
      </c>
    </row>
    <row r="191" spans="1:5" ht="15" hidden="1" thickBot="1">
      <c r="A191" s="24" t="s">
        <v>11</v>
      </c>
      <c r="B191" s="21">
        <v>471</v>
      </c>
      <c r="C191" s="21">
        <v>224.99</v>
      </c>
      <c r="D191" s="21">
        <v>220.94</v>
      </c>
      <c r="E191" s="12">
        <f>(Table101213[[#This Row],[Unit Price]]-Table101213[[#This Row],[Unit Cost]])*Table101213[[#This Row],[Units Sold]]</f>
        <v>1907.5500000000054</v>
      </c>
    </row>
    <row r="192" spans="1:5" ht="15" thickBot="1">
      <c r="A192" s="25" t="s">
        <v>48</v>
      </c>
      <c r="B192" s="12">
        <v>93</v>
      </c>
      <c r="C192" s="12">
        <v>12.26</v>
      </c>
      <c r="D192" s="12">
        <v>156.68</v>
      </c>
      <c r="E192" s="12">
        <f>(Table101213[[#This Row],[Unit Price]]-Table101213[[#This Row],[Unit Cost]])*Table101213[[#This Row],[Units Sold]]</f>
        <v>-13431.060000000001</v>
      </c>
    </row>
    <row r="193" spans="1:5" ht="15" hidden="1" thickBot="1">
      <c r="A193" s="24" t="s">
        <v>11</v>
      </c>
      <c r="B193" s="21">
        <v>31</v>
      </c>
      <c r="C193" s="21">
        <v>295.60000000000002</v>
      </c>
      <c r="D193" s="21">
        <v>67.150000000000006</v>
      </c>
      <c r="E193" s="12">
        <f>(Table101213[[#This Row],[Unit Price]]-Table101213[[#This Row],[Unit Cost]])*Table101213[[#This Row],[Units Sold]]</f>
        <v>7081.9500000000007</v>
      </c>
    </row>
    <row r="194" spans="1:5" ht="15" hidden="1" thickBot="1">
      <c r="A194" s="25" t="s">
        <v>11</v>
      </c>
      <c r="B194" s="12">
        <v>468</v>
      </c>
      <c r="C194" s="12">
        <v>88.38</v>
      </c>
      <c r="D194" s="12">
        <v>110.97</v>
      </c>
      <c r="E194" s="12">
        <f>(Table101213[[#This Row],[Unit Price]]-Table101213[[#This Row],[Unit Cost]])*Table101213[[#This Row],[Units Sold]]</f>
        <v>-10572.12</v>
      </c>
    </row>
    <row r="195" spans="1:5" ht="15" hidden="1" thickBot="1">
      <c r="A195" s="24" t="s">
        <v>22</v>
      </c>
      <c r="B195" s="21">
        <v>36</v>
      </c>
      <c r="C195" s="21">
        <v>323.08</v>
      </c>
      <c r="D195" s="21">
        <v>371.47</v>
      </c>
      <c r="E195" s="12">
        <f>(Table101213[[#This Row],[Unit Price]]-Table101213[[#This Row],[Unit Cost]])*Table101213[[#This Row],[Units Sold]]</f>
        <v>-1742.0400000000016</v>
      </c>
    </row>
    <row r="196" spans="1:5" ht="15" hidden="1" thickBot="1">
      <c r="A196" s="25" t="s">
        <v>11</v>
      </c>
      <c r="B196" s="12">
        <v>204</v>
      </c>
      <c r="C196" s="12">
        <v>380.88</v>
      </c>
      <c r="D196" s="12">
        <v>271.04000000000002</v>
      </c>
      <c r="E196" s="12">
        <f>(Table101213[[#This Row],[Unit Price]]-Table101213[[#This Row],[Unit Cost]])*Table101213[[#This Row],[Units Sold]]</f>
        <v>22407.359999999993</v>
      </c>
    </row>
    <row r="197" spans="1:5" ht="15" hidden="1" thickBot="1">
      <c r="A197" s="24" t="s">
        <v>11</v>
      </c>
      <c r="B197" s="21">
        <v>346</v>
      </c>
      <c r="C197" s="21">
        <v>252.72</v>
      </c>
      <c r="D197" s="21">
        <v>199.43</v>
      </c>
      <c r="E197" s="12">
        <f>(Table101213[[#This Row],[Unit Price]]-Table101213[[#This Row],[Unit Cost]])*Table101213[[#This Row],[Units Sold]]</f>
        <v>18438.339999999997</v>
      </c>
    </row>
    <row r="198" spans="1:5" ht="15" thickBot="1">
      <c r="A198" s="25" t="s">
        <v>48</v>
      </c>
      <c r="B198" s="12">
        <v>391</v>
      </c>
      <c r="C198" s="12">
        <v>273.47000000000003</v>
      </c>
      <c r="D198" s="12">
        <v>7.06</v>
      </c>
      <c r="E198" s="12">
        <f>(Table101213[[#This Row],[Unit Price]]-Table101213[[#This Row],[Unit Cost]])*Table101213[[#This Row],[Units Sold]]</f>
        <v>104166.31000000001</v>
      </c>
    </row>
    <row r="199" spans="1:5" ht="15" thickBot="1">
      <c r="A199" s="24" t="s">
        <v>48</v>
      </c>
      <c r="B199" s="21">
        <v>245</v>
      </c>
      <c r="C199" s="21">
        <v>475.98</v>
      </c>
      <c r="D199" s="21">
        <v>396.98</v>
      </c>
      <c r="E199" s="12">
        <f>(Table101213[[#This Row],[Unit Price]]-Table101213[[#This Row],[Unit Cost]])*Table101213[[#This Row],[Units Sold]]</f>
        <v>19355</v>
      </c>
    </row>
    <row r="200" spans="1:5" ht="15" hidden="1" thickBot="1">
      <c r="A200" s="25" t="s">
        <v>17</v>
      </c>
      <c r="B200" s="12">
        <v>449</v>
      </c>
      <c r="C200" s="12">
        <v>424.35</v>
      </c>
      <c r="D200" s="12">
        <v>269.24</v>
      </c>
      <c r="E200" s="12">
        <f>(Table101213[[#This Row],[Unit Price]]-Table101213[[#This Row],[Unit Cost]])*Table101213[[#This Row],[Units Sold]]</f>
        <v>69644.39</v>
      </c>
    </row>
    <row r="201" spans="1:5" ht="15" hidden="1" thickBot="1">
      <c r="A201" s="24" t="s">
        <v>22</v>
      </c>
      <c r="B201" s="21">
        <v>101</v>
      </c>
      <c r="C201" s="21">
        <v>457.55</v>
      </c>
      <c r="D201" s="21">
        <v>128.13999999999999</v>
      </c>
      <c r="E201" s="12">
        <f>(Table101213[[#This Row],[Unit Price]]-Table101213[[#This Row],[Unit Cost]])*Table101213[[#This Row],[Units Sold]]</f>
        <v>33270.410000000003</v>
      </c>
    </row>
    <row r="202" spans="1:5" ht="15" hidden="1" thickBot="1">
      <c r="A202" s="25" t="s">
        <v>11</v>
      </c>
      <c r="B202" s="12"/>
      <c r="C202" s="12">
        <v>407.81</v>
      </c>
      <c r="D202" s="12">
        <v>351.95</v>
      </c>
      <c r="E202" s="12">
        <f>(Table101213[[#This Row],[Unit Price]]-Table101213[[#This Row],[Unit Cost]])*Table101213[[#This Row],[Units Sold]]</f>
        <v>0</v>
      </c>
    </row>
    <row r="203" spans="1:5" ht="15" hidden="1" thickBot="1">
      <c r="A203" s="24" t="s">
        <v>11</v>
      </c>
      <c r="B203" s="21">
        <v>30</v>
      </c>
      <c r="C203" s="21">
        <v>58.91</v>
      </c>
      <c r="D203" s="21">
        <v>104.86</v>
      </c>
      <c r="E203" s="12">
        <f>(Table101213[[#This Row],[Unit Price]]-Table101213[[#This Row],[Unit Cost]])*Table101213[[#This Row],[Units Sold]]</f>
        <v>-1378.5</v>
      </c>
    </row>
    <row r="204" spans="1:5" ht="15" hidden="1" thickBot="1">
      <c r="A204" s="25" t="s">
        <v>17</v>
      </c>
      <c r="B204" s="12">
        <v>312</v>
      </c>
      <c r="C204" s="12">
        <v>78.75</v>
      </c>
      <c r="D204" s="12">
        <v>218.52</v>
      </c>
      <c r="E204" s="12">
        <f>(Table101213[[#This Row],[Unit Price]]-Table101213[[#This Row],[Unit Cost]])*Table101213[[#This Row],[Units Sold]]</f>
        <v>-43608.240000000005</v>
      </c>
    </row>
    <row r="205" spans="1:5" ht="15" hidden="1" thickBot="1">
      <c r="A205" s="24" t="s">
        <v>11</v>
      </c>
      <c r="B205" s="21">
        <v>473</v>
      </c>
      <c r="C205" s="21">
        <v>265.68</v>
      </c>
      <c r="D205" s="21">
        <v>255.16</v>
      </c>
      <c r="E205" s="12">
        <f>(Table101213[[#This Row],[Unit Price]]-Table101213[[#This Row],[Unit Cost]])*Table101213[[#This Row],[Units Sold]]</f>
        <v>4975.9600000000046</v>
      </c>
    </row>
    <row r="206" spans="1:5" ht="15" hidden="1" thickBot="1">
      <c r="A206" s="25" t="s">
        <v>22</v>
      </c>
      <c r="B206" s="12">
        <v>366</v>
      </c>
      <c r="C206" s="12">
        <v>126.8</v>
      </c>
      <c r="D206" s="12">
        <v>89.98</v>
      </c>
      <c r="E206" s="12">
        <f>(Table101213[[#This Row],[Unit Price]]-Table101213[[#This Row],[Unit Cost]])*Table101213[[#This Row],[Units Sold]]</f>
        <v>13476.119999999997</v>
      </c>
    </row>
    <row r="207" spans="1:5" ht="15" hidden="1" thickBot="1">
      <c r="A207" s="24" t="s">
        <v>17</v>
      </c>
      <c r="B207" s="21">
        <v>452</v>
      </c>
      <c r="C207" s="21">
        <v>240.96</v>
      </c>
      <c r="D207" s="21">
        <v>391.4</v>
      </c>
      <c r="E207" s="12">
        <f>(Table101213[[#This Row],[Unit Price]]-Table101213[[#This Row],[Unit Cost]])*Table101213[[#This Row],[Units Sold]]</f>
        <v>-67998.87999999999</v>
      </c>
    </row>
    <row r="208" spans="1:5" ht="15" hidden="1" thickBot="1">
      <c r="A208" s="25" t="s">
        <v>22</v>
      </c>
      <c r="B208" s="12">
        <v>93</v>
      </c>
      <c r="C208" s="12">
        <v>200.21</v>
      </c>
      <c r="D208" s="12">
        <v>299.77999999999997</v>
      </c>
      <c r="E208" s="12">
        <f>(Table101213[[#This Row],[Unit Price]]-Table101213[[#This Row],[Unit Cost]])*Table101213[[#This Row],[Units Sold]]</f>
        <v>-9260.0099999999966</v>
      </c>
    </row>
    <row r="209" spans="1:5" ht="15" hidden="1" thickBot="1">
      <c r="A209" s="24" t="s">
        <v>17</v>
      </c>
      <c r="B209" s="21">
        <v>271</v>
      </c>
      <c r="C209" s="21">
        <v>276.95999999999998</v>
      </c>
      <c r="D209" s="21">
        <v>224.01</v>
      </c>
      <c r="E209" s="12">
        <f>(Table101213[[#This Row],[Unit Price]]-Table101213[[#This Row],[Unit Cost]])*Table101213[[#This Row],[Units Sold]]</f>
        <v>14349.449999999997</v>
      </c>
    </row>
    <row r="210" spans="1:5" ht="15" hidden="1" thickBot="1">
      <c r="A210" s="25" t="s">
        <v>17</v>
      </c>
      <c r="B210" s="12">
        <v>156</v>
      </c>
      <c r="C210" s="12">
        <v>374.7</v>
      </c>
      <c r="D210" s="12">
        <v>73.88</v>
      </c>
      <c r="E210" s="12">
        <f>(Table101213[[#This Row],[Unit Price]]-Table101213[[#This Row],[Unit Cost]])*Table101213[[#This Row],[Units Sold]]</f>
        <v>46927.92</v>
      </c>
    </row>
    <row r="211" spans="1:5" ht="15" thickBot="1">
      <c r="A211" s="24" t="s">
        <v>48</v>
      </c>
      <c r="B211" s="21">
        <v>450</v>
      </c>
      <c r="C211" s="21">
        <v>359.17</v>
      </c>
      <c r="D211" s="21">
        <v>23.44</v>
      </c>
      <c r="E211" s="12">
        <f>(Table101213[[#This Row],[Unit Price]]-Table101213[[#This Row],[Unit Cost]])*Table101213[[#This Row],[Units Sold]]</f>
        <v>151078.5</v>
      </c>
    </row>
    <row r="212" spans="1:5" ht="15" hidden="1" thickBot="1">
      <c r="A212" s="25" t="s">
        <v>22</v>
      </c>
      <c r="B212" s="12">
        <v>462</v>
      </c>
      <c r="C212" s="12">
        <v>263.01</v>
      </c>
      <c r="D212" s="12">
        <v>129.38</v>
      </c>
      <c r="E212" s="12">
        <f>(Table101213[[#This Row],[Unit Price]]-Table101213[[#This Row],[Unit Cost]])*Table101213[[#This Row],[Units Sold]]</f>
        <v>61737.06</v>
      </c>
    </row>
    <row r="213" spans="1:5" ht="15" hidden="1" thickBot="1">
      <c r="A213" s="24" t="s">
        <v>11</v>
      </c>
      <c r="B213" s="21">
        <v>396</v>
      </c>
      <c r="C213" s="21">
        <v>412.08</v>
      </c>
      <c r="D213" s="21">
        <v>301.77</v>
      </c>
      <c r="E213" s="12">
        <f>(Table101213[[#This Row],[Unit Price]]-Table101213[[#This Row],[Unit Cost]])*Table101213[[#This Row],[Units Sold]]</f>
        <v>43682.76</v>
      </c>
    </row>
    <row r="214" spans="1:5" ht="15" hidden="1" thickBot="1">
      <c r="A214" s="25" t="s">
        <v>11</v>
      </c>
      <c r="B214" s="12">
        <v>266</v>
      </c>
      <c r="C214" s="12">
        <v>218.28</v>
      </c>
      <c r="D214" s="12">
        <v>109.19</v>
      </c>
      <c r="E214" s="12">
        <f>(Table101213[[#This Row],[Unit Price]]-Table101213[[#This Row],[Unit Cost]])*Table101213[[#This Row],[Units Sold]]</f>
        <v>29017.940000000002</v>
      </c>
    </row>
    <row r="215" spans="1:5" ht="15" hidden="1" thickBot="1">
      <c r="A215" s="24" t="s">
        <v>22</v>
      </c>
      <c r="B215" s="21">
        <v>67</v>
      </c>
      <c r="C215" s="21">
        <v>448.87</v>
      </c>
      <c r="D215" s="21">
        <v>216.74</v>
      </c>
      <c r="E215" s="12">
        <f>(Table101213[[#This Row],[Unit Price]]-Table101213[[#This Row],[Unit Cost]])*Table101213[[#This Row],[Units Sold]]</f>
        <v>15552.71</v>
      </c>
    </row>
    <row r="216" spans="1:5" ht="15" hidden="1" thickBot="1">
      <c r="A216" s="25" t="s">
        <v>11</v>
      </c>
      <c r="B216" s="12">
        <v>389</v>
      </c>
      <c r="C216" s="12">
        <v>40.28</v>
      </c>
      <c r="D216" s="12">
        <v>291.72000000000003</v>
      </c>
      <c r="E216" s="12">
        <f>(Table101213[[#This Row],[Unit Price]]-Table101213[[#This Row],[Unit Cost]])*Table101213[[#This Row],[Units Sold]]</f>
        <v>-97810.16</v>
      </c>
    </row>
    <row r="217" spans="1:5" ht="15" hidden="1" thickBot="1">
      <c r="A217" s="24" t="s">
        <v>11</v>
      </c>
      <c r="B217" s="21">
        <v>431</v>
      </c>
      <c r="C217" s="21">
        <v>477.56</v>
      </c>
      <c r="D217" s="21">
        <v>44.96</v>
      </c>
      <c r="E217" s="12">
        <f>(Table101213[[#This Row],[Unit Price]]-Table101213[[#This Row],[Unit Cost]])*Table101213[[#This Row],[Units Sold]]</f>
        <v>186450.6</v>
      </c>
    </row>
    <row r="218" spans="1:5" ht="15" hidden="1" thickBot="1">
      <c r="A218" s="25" t="s">
        <v>22</v>
      </c>
      <c r="B218" s="12">
        <v>24</v>
      </c>
      <c r="C218" s="12">
        <v>329.07</v>
      </c>
      <c r="D218" s="12">
        <v>274.75</v>
      </c>
      <c r="E218" s="12">
        <f>(Table101213[[#This Row],[Unit Price]]-Table101213[[#This Row],[Unit Cost]])*Table101213[[#This Row],[Units Sold]]</f>
        <v>1303.6799999999998</v>
      </c>
    </row>
    <row r="219" spans="1:5" ht="15" hidden="1" thickBot="1">
      <c r="A219" s="24" t="s">
        <v>17</v>
      </c>
      <c r="B219" s="21">
        <v>171</v>
      </c>
      <c r="C219" s="21">
        <v>193.14</v>
      </c>
      <c r="D219" s="21">
        <v>38.56</v>
      </c>
      <c r="E219" s="12">
        <f>(Table101213[[#This Row],[Unit Price]]-Table101213[[#This Row],[Unit Cost]])*Table101213[[#This Row],[Units Sold]]</f>
        <v>26433.179999999997</v>
      </c>
    </row>
    <row r="220" spans="1:5" ht="15" hidden="1" thickBot="1">
      <c r="A220" s="25" t="s">
        <v>22</v>
      </c>
      <c r="B220" s="12">
        <v>454</v>
      </c>
      <c r="C220" s="12">
        <v>102.59</v>
      </c>
      <c r="D220" s="12">
        <v>386.12</v>
      </c>
      <c r="E220" s="12">
        <f>(Table101213[[#This Row],[Unit Price]]-Table101213[[#This Row],[Unit Cost]])*Table101213[[#This Row],[Units Sold]]</f>
        <v>-128722.61999999998</v>
      </c>
    </row>
    <row r="221" spans="1:5" ht="15" hidden="1" thickBot="1">
      <c r="A221" s="24" t="s">
        <v>17</v>
      </c>
      <c r="B221" s="21">
        <v>172</v>
      </c>
      <c r="C221" s="21">
        <v>242.2</v>
      </c>
      <c r="D221" s="21">
        <v>196.38</v>
      </c>
      <c r="E221" s="12">
        <f>(Table101213[[#This Row],[Unit Price]]-Table101213[[#This Row],[Unit Cost]])*Table101213[[#This Row],[Units Sold]]</f>
        <v>7881.0399999999991</v>
      </c>
    </row>
    <row r="222" spans="1:5" ht="15" hidden="1" thickBot="1">
      <c r="A222" s="25" t="s">
        <v>11</v>
      </c>
      <c r="B222" s="12">
        <v>329</v>
      </c>
      <c r="C222" s="12">
        <v>101.31</v>
      </c>
      <c r="D222" s="12">
        <v>61.97</v>
      </c>
      <c r="E222" s="12">
        <f>(Table101213[[#This Row],[Unit Price]]-Table101213[[#This Row],[Unit Cost]])*Table101213[[#This Row],[Units Sold]]</f>
        <v>12942.86</v>
      </c>
    </row>
    <row r="223" spans="1:5" ht="15" hidden="1" thickBot="1">
      <c r="A223" s="24" t="s">
        <v>11</v>
      </c>
      <c r="B223" s="21">
        <v>290</v>
      </c>
      <c r="C223" s="21">
        <v>87.33</v>
      </c>
      <c r="D223" s="21">
        <v>138.27000000000001</v>
      </c>
      <c r="E223" s="12">
        <f>(Table101213[[#This Row],[Unit Price]]-Table101213[[#This Row],[Unit Cost]])*Table101213[[#This Row],[Units Sold]]</f>
        <v>-14772.600000000004</v>
      </c>
    </row>
    <row r="224" spans="1:5" ht="15" hidden="1" thickBot="1">
      <c r="A224" s="25"/>
      <c r="B224" s="12">
        <v>289</v>
      </c>
      <c r="C224" s="12">
        <v>310.58999999999997</v>
      </c>
      <c r="D224" s="12">
        <v>166.54</v>
      </c>
      <c r="E224" s="12">
        <f>(Table101213[[#This Row],[Unit Price]]-Table101213[[#This Row],[Unit Cost]])*Table101213[[#This Row],[Units Sold]]</f>
        <v>41630.449999999997</v>
      </c>
    </row>
    <row r="225" spans="1:5" ht="15" thickBot="1">
      <c r="A225" s="24" t="s">
        <v>48</v>
      </c>
      <c r="B225" s="21">
        <v>21</v>
      </c>
      <c r="C225" s="21">
        <v>263.93</v>
      </c>
      <c r="D225" s="21">
        <v>303.76</v>
      </c>
      <c r="E225" s="12">
        <f>(Table101213[[#This Row],[Unit Price]]-Table101213[[#This Row],[Unit Cost]])*Table101213[[#This Row],[Units Sold]]</f>
        <v>-836.42999999999961</v>
      </c>
    </row>
    <row r="226" spans="1:5" ht="15" hidden="1" thickBot="1">
      <c r="A226" s="25" t="s">
        <v>17</v>
      </c>
      <c r="B226" s="12">
        <v>283</v>
      </c>
      <c r="C226" s="12">
        <v>336.7</v>
      </c>
      <c r="D226" s="12">
        <v>297.88</v>
      </c>
      <c r="E226" s="12">
        <f>(Table101213[[#This Row],[Unit Price]]-Table101213[[#This Row],[Unit Cost]])*Table101213[[#This Row],[Units Sold]]</f>
        <v>10986.059999999998</v>
      </c>
    </row>
    <row r="227" spans="1:5" ht="15" thickBot="1">
      <c r="A227" s="24" t="s">
        <v>48</v>
      </c>
      <c r="B227" s="21">
        <v>280</v>
      </c>
      <c r="C227" s="21">
        <v>465.15</v>
      </c>
      <c r="D227" s="21">
        <v>245.55</v>
      </c>
      <c r="E227" s="12">
        <f>(Table101213[[#This Row],[Unit Price]]-Table101213[[#This Row],[Unit Cost]])*Table101213[[#This Row],[Units Sold]]</f>
        <v>61487.999999999993</v>
      </c>
    </row>
    <row r="228" spans="1:5" ht="15" thickBot="1">
      <c r="A228" s="25" t="s">
        <v>48</v>
      </c>
      <c r="B228" s="12">
        <v>217</v>
      </c>
      <c r="C228" s="12">
        <v>268.47000000000003</v>
      </c>
      <c r="D228" s="12">
        <v>44.16</v>
      </c>
      <c r="E228" s="12">
        <f>(Table101213[[#This Row],[Unit Price]]-Table101213[[#This Row],[Unit Cost]])*Table101213[[#This Row],[Units Sold]]</f>
        <v>48675.270000000004</v>
      </c>
    </row>
    <row r="229" spans="1:5" ht="15" hidden="1" thickBot="1">
      <c r="A229" s="24" t="s">
        <v>22</v>
      </c>
      <c r="B229" s="21">
        <v>36</v>
      </c>
      <c r="C229" s="21">
        <v>292.56</v>
      </c>
      <c r="D229" s="21">
        <v>62.32</v>
      </c>
      <c r="E229" s="12">
        <f>(Table101213[[#This Row],[Unit Price]]-Table101213[[#This Row],[Unit Cost]])*Table101213[[#This Row],[Units Sold]]</f>
        <v>8288.64</v>
      </c>
    </row>
    <row r="230" spans="1:5" ht="15" thickBot="1">
      <c r="A230" s="25" t="s">
        <v>48</v>
      </c>
      <c r="B230" s="12"/>
      <c r="C230" s="12">
        <v>49.37</v>
      </c>
      <c r="D230" s="12">
        <v>39.32</v>
      </c>
      <c r="E230" s="12">
        <f>(Table101213[[#This Row],[Unit Price]]-Table101213[[#This Row],[Unit Cost]])*Table101213[[#This Row],[Units Sold]]</f>
        <v>0</v>
      </c>
    </row>
    <row r="231" spans="1:5" ht="15" hidden="1" thickBot="1">
      <c r="A231" s="24" t="s">
        <v>22</v>
      </c>
      <c r="B231" s="21">
        <v>69</v>
      </c>
      <c r="C231" s="21">
        <v>360.23</v>
      </c>
      <c r="D231" s="21">
        <v>231.71</v>
      </c>
      <c r="E231" s="12">
        <f>(Table101213[[#This Row],[Unit Price]]-Table101213[[#This Row],[Unit Cost]])*Table101213[[#This Row],[Units Sold]]</f>
        <v>8867.880000000001</v>
      </c>
    </row>
    <row r="232" spans="1:5" ht="15" hidden="1" thickBot="1">
      <c r="A232" s="25" t="s">
        <v>22</v>
      </c>
      <c r="B232" s="12">
        <v>439</v>
      </c>
      <c r="C232" s="12">
        <v>202.95</v>
      </c>
      <c r="D232" s="12">
        <v>351.1</v>
      </c>
      <c r="E232" s="12">
        <f>(Table101213[[#This Row],[Unit Price]]-Table101213[[#This Row],[Unit Cost]])*Table101213[[#This Row],[Units Sold]]</f>
        <v>-65037.850000000013</v>
      </c>
    </row>
    <row r="233" spans="1:5" ht="15" thickBot="1">
      <c r="A233" s="24" t="s">
        <v>48</v>
      </c>
      <c r="B233" s="21">
        <v>482</v>
      </c>
      <c r="C233" s="21">
        <v>488.48</v>
      </c>
      <c r="D233" s="21">
        <v>174.65</v>
      </c>
      <c r="E233" s="12">
        <f>(Table101213[[#This Row],[Unit Price]]-Table101213[[#This Row],[Unit Cost]])*Table101213[[#This Row],[Units Sold]]</f>
        <v>151266.06000000003</v>
      </c>
    </row>
    <row r="234" spans="1:5" ht="15" hidden="1" thickBot="1">
      <c r="A234" s="25" t="s">
        <v>17</v>
      </c>
      <c r="B234" s="12">
        <v>154</v>
      </c>
      <c r="C234" s="12">
        <v>412.47</v>
      </c>
      <c r="D234" s="12">
        <v>66.02</v>
      </c>
      <c r="E234" s="12">
        <f>(Table101213[[#This Row],[Unit Price]]-Table101213[[#This Row],[Unit Cost]])*Table101213[[#This Row],[Units Sold]]</f>
        <v>53353.30000000001</v>
      </c>
    </row>
    <row r="235" spans="1:5" ht="15" hidden="1" thickBot="1">
      <c r="A235" s="24" t="s">
        <v>17</v>
      </c>
      <c r="B235" s="21">
        <v>102</v>
      </c>
      <c r="C235" s="21">
        <v>263.63</v>
      </c>
      <c r="D235" s="21">
        <v>224.1</v>
      </c>
      <c r="E235" s="12">
        <f>(Table101213[[#This Row],[Unit Price]]-Table101213[[#This Row],[Unit Cost]])*Table101213[[#This Row],[Units Sold]]</f>
        <v>4032.06</v>
      </c>
    </row>
    <row r="236" spans="1:5" ht="15" hidden="1" thickBot="1">
      <c r="A236" s="25" t="s">
        <v>17</v>
      </c>
      <c r="B236" s="12">
        <v>318</v>
      </c>
      <c r="C236" s="12">
        <v>66</v>
      </c>
      <c r="D236" s="12">
        <v>325.08</v>
      </c>
      <c r="E236" s="12">
        <f>(Table101213[[#This Row],[Unit Price]]-Table101213[[#This Row],[Unit Cost]])*Table101213[[#This Row],[Units Sold]]</f>
        <v>-82387.439999999988</v>
      </c>
    </row>
    <row r="237" spans="1:5" ht="15" hidden="1" thickBot="1">
      <c r="A237" s="24" t="s">
        <v>17</v>
      </c>
      <c r="B237" s="21">
        <v>17</v>
      </c>
      <c r="C237" s="21">
        <v>430.41</v>
      </c>
      <c r="D237" s="21">
        <v>297.2</v>
      </c>
      <c r="E237" s="12">
        <f>(Table101213[[#This Row],[Unit Price]]-Table101213[[#This Row],[Unit Cost]])*Table101213[[#This Row],[Units Sold]]</f>
        <v>2264.5700000000006</v>
      </c>
    </row>
    <row r="238" spans="1:5" ht="15" hidden="1" thickBot="1">
      <c r="A238" s="25" t="s">
        <v>17</v>
      </c>
      <c r="B238" s="12">
        <v>88</v>
      </c>
      <c r="C238" s="12">
        <v>400.89</v>
      </c>
      <c r="D238" s="12">
        <v>352.82</v>
      </c>
      <c r="E238" s="12">
        <f>(Table101213[[#This Row],[Unit Price]]-Table101213[[#This Row],[Unit Cost]])*Table101213[[#This Row],[Units Sold]]</f>
        <v>4230.16</v>
      </c>
    </row>
    <row r="239" spans="1:5" ht="15" thickBot="1">
      <c r="A239" s="24" t="s">
        <v>48</v>
      </c>
      <c r="B239" s="21">
        <v>36</v>
      </c>
      <c r="C239" s="21">
        <v>96.37</v>
      </c>
      <c r="D239" s="21">
        <v>112.61</v>
      </c>
      <c r="E239" s="12">
        <f>(Table101213[[#This Row],[Unit Price]]-Table101213[[#This Row],[Unit Cost]])*Table101213[[#This Row],[Units Sold]]</f>
        <v>-584.63999999999987</v>
      </c>
    </row>
    <row r="240" spans="1:5" ht="15" thickBot="1">
      <c r="A240" s="25" t="s">
        <v>48</v>
      </c>
      <c r="B240" s="12">
        <v>183</v>
      </c>
      <c r="C240" s="12">
        <v>151.16</v>
      </c>
      <c r="D240" s="12">
        <v>79.19</v>
      </c>
      <c r="E240" s="12">
        <f>(Table101213[[#This Row],[Unit Price]]-Table101213[[#This Row],[Unit Cost]])*Table101213[[#This Row],[Units Sold]]</f>
        <v>13170.51</v>
      </c>
    </row>
    <row r="241" spans="1:5" ht="15" hidden="1" thickBot="1">
      <c r="A241" s="24" t="s">
        <v>11</v>
      </c>
      <c r="B241" s="21">
        <v>59</v>
      </c>
      <c r="C241" s="21">
        <v>397.74</v>
      </c>
      <c r="D241" s="21">
        <v>352.17</v>
      </c>
      <c r="E241" s="12">
        <f>(Table101213[[#This Row],[Unit Price]]-Table101213[[#This Row],[Unit Cost]])*Table101213[[#This Row],[Units Sold]]</f>
        <v>2688.6299999999997</v>
      </c>
    </row>
    <row r="242" spans="1:5" ht="15" hidden="1" thickBot="1">
      <c r="A242" s="25" t="s">
        <v>17</v>
      </c>
      <c r="B242" s="12">
        <v>208</v>
      </c>
      <c r="C242" s="12">
        <v>96.69</v>
      </c>
      <c r="D242" s="12">
        <v>263.70999999999998</v>
      </c>
      <c r="E242" s="12">
        <f>(Table101213[[#This Row],[Unit Price]]-Table101213[[#This Row],[Unit Cost]])*Table101213[[#This Row],[Units Sold]]</f>
        <v>-34740.159999999996</v>
      </c>
    </row>
    <row r="243" spans="1:5" ht="15" thickBot="1">
      <c r="A243" s="24" t="s">
        <v>48</v>
      </c>
      <c r="B243" s="21">
        <v>396</v>
      </c>
      <c r="C243" s="21">
        <v>459.29</v>
      </c>
      <c r="D243" s="21">
        <v>125.75</v>
      </c>
      <c r="E243" s="12">
        <f>(Table101213[[#This Row],[Unit Price]]-Table101213[[#This Row],[Unit Cost]])*Table101213[[#This Row],[Units Sold]]</f>
        <v>132081.84</v>
      </c>
    </row>
    <row r="244" spans="1:5" ht="15" hidden="1" thickBot="1">
      <c r="A244" s="25" t="s">
        <v>11</v>
      </c>
      <c r="B244" s="12">
        <v>358</v>
      </c>
      <c r="C244" s="12">
        <v>215.14</v>
      </c>
      <c r="D244" s="12">
        <v>297.45</v>
      </c>
      <c r="E244" s="12">
        <f>(Table101213[[#This Row],[Unit Price]]-Table101213[[#This Row],[Unit Cost]])*Table101213[[#This Row],[Units Sold]]</f>
        <v>-29466.98</v>
      </c>
    </row>
    <row r="245" spans="1:5" ht="15" hidden="1" thickBot="1">
      <c r="A245" s="24" t="s">
        <v>17</v>
      </c>
      <c r="B245" s="21">
        <v>457</v>
      </c>
      <c r="C245" s="21">
        <v>48.08</v>
      </c>
      <c r="D245" s="21">
        <v>326.42</v>
      </c>
      <c r="E245" s="12">
        <f>(Table101213[[#This Row],[Unit Price]]-Table101213[[#This Row],[Unit Cost]])*Table101213[[#This Row],[Units Sold]]</f>
        <v>-127201.38000000002</v>
      </c>
    </row>
    <row r="246" spans="1:5" ht="15" hidden="1" thickBot="1">
      <c r="A246" s="25" t="s">
        <v>22</v>
      </c>
      <c r="B246" s="12">
        <v>437</v>
      </c>
      <c r="C246" s="12">
        <v>408.8</v>
      </c>
      <c r="D246" s="12">
        <v>246.76</v>
      </c>
      <c r="E246" s="12">
        <f>(Table101213[[#This Row],[Unit Price]]-Table101213[[#This Row],[Unit Cost]])*Table101213[[#This Row],[Units Sold]]</f>
        <v>70811.48000000001</v>
      </c>
    </row>
    <row r="247" spans="1:5" ht="15" hidden="1" thickBot="1">
      <c r="A247" s="24" t="s">
        <v>11</v>
      </c>
      <c r="B247" s="21">
        <v>190</v>
      </c>
      <c r="C247" s="21">
        <v>189.89</v>
      </c>
      <c r="D247" s="21">
        <v>275.77999999999997</v>
      </c>
      <c r="E247" s="12">
        <f>(Table101213[[#This Row],[Unit Price]]-Table101213[[#This Row],[Unit Cost]])*Table101213[[#This Row],[Units Sold]]</f>
        <v>-16319.099999999997</v>
      </c>
    </row>
    <row r="248" spans="1:5" ht="15" thickBot="1">
      <c r="A248" s="25" t="s">
        <v>48</v>
      </c>
      <c r="B248" s="12">
        <v>33</v>
      </c>
      <c r="C248" s="12">
        <v>265.62</v>
      </c>
      <c r="D248" s="12">
        <v>151.35</v>
      </c>
      <c r="E248" s="12">
        <f>(Table101213[[#This Row],[Unit Price]]-Table101213[[#This Row],[Unit Cost]])*Table101213[[#This Row],[Units Sold]]</f>
        <v>3770.9100000000003</v>
      </c>
    </row>
    <row r="249" spans="1:5" ht="15" hidden="1" thickBot="1">
      <c r="A249" s="24" t="s">
        <v>22</v>
      </c>
      <c r="B249" s="21">
        <v>325</v>
      </c>
      <c r="C249" s="21">
        <v>60.59</v>
      </c>
      <c r="D249" s="21">
        <v>216.4</v>
      </c>
      <c r="E249" s="12">
        <f>(Table101213[[#This Row],[Unit Price]]-Table101213[[#This Row],[Unit Cost]])*Table101213[[#This Row],[Units Sold]]</f>
        <v>-50638.25</v>
      </c>
    </row>
    <row r="250" spans="1:5" ht="15" hidden="1" thickBot="1">
      <c r="A250" s="25" t="s">
        <v>22</v>
      </c>
      <c r="B250" s="12">
        <v>387</v>
      </c>
      <c r="C250" s="12">
        <v>6.28</v>
      </c>
      <c r="D250" s="12">
        <v>210.62</v>
      </c>
      <c r="E250" s="12">
        <f>(Table101213[[#This Row],[Unit Price]]-Table101213[[#This Row],[Unit Cost]])*Table101213[[#This Row],[Units Sold]]</f>
        <v>-79079.58</v>
      </c>
    </row>
    <row r="251" spans="1:5" ht="15" hidden="1" thickBot="1">
      <c r="A251" s="24" t="s">
        <v>22</v>
      </c>
      <c r="B251" s="21">
        <v>396</v>
      </c>
      <c r="C251" s="21">
        <v>320.8</v>
      </c>
      <c r="D251" s="21">
        <v>339.52</v>
      </c>
      <c r="E251" s="12">
        <f>(Table101213[[#This Row],[Unit Price]]-Table101213[[#This Row],[Unit Cost]])*Table101213[[#This Row],[Units Sold]]</f>
        <v>-7413.1199999999881</v>
      </c>
    </row>
    <row r="252" spans="1:5" ht="15" hidden="1" thickBot="1">
      <c r="A252" s="25" t="s">
        <v>11</v>
      </c>
      <c r="B252" s="12">
        <v>413</v>
      </c>
      <c r="C252" s="12">
        <v>260.01</v>
      </c>
      <c r="D252" s="12">
        <v>336.31</v>
      </c>
      <c r="E252" s="12">
        <f>(Table101213[[#This Row],[Unit Price]]-Table101213[[#This Row],[Unit Cost]])*Table101213[[#This Row],[Units Sold]]</f>
        <v>-31511.900000000005</v>
      </c>
    </row>
    <row r="253" spans="1:5" ht="15" thickBot="1">
      <c r="A253" s="24" t="s">
        <v>48</v>
      </c>
      <c r="B253" s="21"/>
      <c r="C253" s="21">
        <v>298.8</v>
      </c>
      <c r="D253" s="21">
        <v>333.41</v>
      </c>
      <c r="E253" s="12">
        <f>(Table101213[[#This Row],[Unit Price]]-Table101213[[#This Row],[Unit Cost]])*Table101213[[#This Row],[Units Sold]]</f>
        <v>0</v>
      </c>
    </row>
    <row r="254" spans="1:5" ht="15" hidden="1" thickBot="1">
      <c r="A254" s="25" t="s">
        <v>22</v>
      </c>
      <c r="B254" s="12">
        <v>24</v>
      </c>
      <c r="C254" s="12">
        <v>397.9</v>
      </c>
      <c r="D254" s="12">
        <v>6.39</v>
      </c>
      <c r="E254" s="12">
        <f>(Table101213[[#This Row],[Unit Price]]-Table101213[[#This Row],[Unit Cost]])*Table101213[[#This Row],[Units Sold]]</f>
        <v>9396.24</v>
      </c>
    </row>
    <row r="255" spans="1:5" ht="15" hidden="1" thickBot="1">
      <c r="A255" s="24" t="s">
        <v>17</v>
      </c>
      <c r="B255" s="21">
        <v>162</v>
      </c>
      <c r="C255" s="21">
        <v>325.07</v>
      </c>
      <c r="D255" s="21">
        <v>300.32</v>
      </c>
      <c r="E255" s="12">
        <f>(Table101213[[#This Row],[Unit Price]]-Table101213[[#This Row],[Unit Cost]])*Table101213[[#This Row],[Units Sold]]</f>
        <v>4009.5</v>
      </c>
    </row>
    <row r="256" spans="1:5" ht="15" hidden="1" thickBot="1">
      <c r="A256" s="25" t="s">
        <v>22</v>
      </c>
      <c r="B256" s="12">
        <v>231</v>
      </c>
      <c r="C256" s="12">
        <v>91.51</v>
      </c>
      <c r="D256" s="12">
        <v>303.95</v>
      </c>
      <c r="E256" s="12">
        <f>(Table101213[[#This Row],[Unit Price]]-Table101213[[#This Row],[Unit Cost]])*Table101213[[#This Row],[Units Sold]]</f>
        <v>-49073.64</v>
      </c>
    </row>
    <row r="257" spans="1:5" ht="15" hidden="1" thickBot="1">
      <c r="A257" s="24" t="s">
        <v>22</v>
      </c>
      <c r="B257" s="21">
        <v>215</v>
      </c>
      <c r="C257" s="21">
        <v>183.58</v>
      </c>
      <c r="D257" s="21">
        <v>271.99</v>
      </c>
      <c r="E257" s="12">
        <f>(Table101213[[#This Row],[Unit Price]]-Table101213[[#This Row],[Unit Cost]])*Table101213[[#This Row],[Units Sold]]</f>
        <v>-19008.149999999998</v>
      </c>
    </row>
    <row r="258" spans="1:5" ht="15" hidden="1" thickBot="1">
      <c r="A258" s="25" t="s">
        <v>11</v>
      </c>
      <c r="B258" s="12">
        <v>464</v>
      </c>
      <c r="C258" s="12">
        <v>453.42</v>
      </c>
      <c r="D258" s="12">
        <v>302.99</v>
      </c>
      <c r="E258" s="12">
        <f>(Table101213[[#This Row],[Unit Price]]-Table101213[[#This Row],[Unit Cost]])*Table101213[[#This Row],[Units Sold]]</f>
        <v>69799.520000000004</v>
      </c>
    </row>
    <row r="259" spans="1:5" ht="15" hidden="1" thickBot="1">
      <c r="A259" s="24" t="s">
        <v>11</v>
      </c>
      <c r="B259" s="21">
        <v>282</v>
      </c>
      <c r="C259" s="21"/>
      <c r="D259" s="21">
        <v>337.1</v>
      </c>
      <c r="E259" s="12">
        <f>(Table101213[[#This Row],[Unit Price]]-Table101213[[#This Row],[Unit Cost]])*Table101213[[#This Row],[Units Sold]]</f>
        <v>-95062.200000000012</v>
      </c>
    </row>
    <row r="260" spans="1:5" ht="15" thickBot="1">
      <c r="A260" s="25" t="s">
        <v>48</v>
      </c>
      <c r="B260" s="12">
        <v>391</v>
      </c>
      <c r="C260" s="12">
        <v>280.54000000000002</v>
      </c>
      <c r="D260" s="12">
        <v>189.19</v>
      </c>
      <c r="E260" s="12">
        <f>(Table101213[[#This Row],[Unit Price]]-Table101213[[#This Row],[Unit Cost]])*Table101213[[#This Row],[Units Sold]]</f>
        <v>35717.850000000006</v>
      </c>
    </row>
    <row r="261" spans="1:5" ht="15" hidden="1" thickBot="1">
      <c r="A261" s="24" t="s">
        <v>17</v>
      </c>
      <c r="B261" s="21">
        <v>245</v>
      </c>
      <c r="C261" s="21">
        <v>131.54</v>
      </c>
      <c r="D261" s="21">
        <v>201.82</v>
      </c>
      <c r="E261" s="12">
        <f>(Table101213[[#This Row],[Unit Price]]-Table101213[[#This Row],[Unit Cost]])*Table101213[[#This Row],[Units Sold]]</f>
        <v>-17218.599999999999</v>
      </c>
    </row>
    <row r="262" spans="1:5" ht="15" hidden="1" thickBot="1">
      <c r="A262" s="25" t="s">
        <v>11</v>
      </c>
      <c r="B262" s="12">
        <v>349</v>
      </c>
      <c r="C262" s="12">
        <v>154.52000000000001</v>
      </c>
      <c r="D262" s="12">
        <v>51.64</v>
      </c>
      <c r="E262" s="12">
        <f>(Table101213[[#This Row],[Unit Price]]-Table101213[[#This Row],[Unit Cost]])*Table101213[[#This Row],[Units Sold]]</f>
        <v>35905.120000000003</v>
      </c>
    </row>
    <row r="263" spans="1:5" ht="15" hidden="1" thickBot="1">
      <c r="A263" s="24" t="s">
        <v>22</v>
      </c>
      <c r="B263" s="21">
        <v>237</v>
      </c>
      <c r="C263" s="21"/>
      <c r="D263" s="21">
        <v>155.38</v>
      </c>
      <c r="E263" s="12">
        <f>(Table101213[[#This Row],[Unit Price]]-Table101213[[#This Row],[Unit Cost]])*Table101213[[#This Row],[Units Sold]]</f>
        <v>-36825.06</v>
      </c>
    </row>
    <row r="264" spans="1:5" ht="15" thickBot="1">
      <c r="A264" s="25" t="s">
        <v>48</v>
      </c>
      <c r="B264" s="12">
        <v>18</v>
      </c>
      <c r="C264" s="12">
        <v>426.33</v>
      </c>
      <c r="D264" s="12">
        <v>258.06</v>
      </c>
      <c r="E264" s="12">
        <f>(Table101213[[#This Row],[Unit Price]]-Table101213[[#This Row],[Unit Cost]])*Table101213[[#This Row],[Units Sold]]</f>
        <v>3028.8599999999997</v>
      </c>
    </row>
    <row r="265" spans="1:5" ht="15" hidden="1" thickBot="1">
      <c r="A265" s="24" t="s">
        <v>22</v>
      </c>
      <c r="B265" s="21">
        <v>175</v>
      </c>
      <c r="C265" s="21">
        <v>337.36</v>
      </c>
      <c r="D265" s="21">
        <v>312.60000000000002</v>
      </c>
      <c r="E265" s="12">
        <f>(Table101213[[#This Row],[Unit Price]]-Table101213[[#This Row],[Unit Cost]])*Table101213[[#This Row],[Units Sold]]</f>
        <v>4332.9999999999982</v>
      </c>
    </row>
    <row r="266" spans="1:5" ht="15" hidden="1" thickBot="1">
      <c r="A266" s="25" t="s">
        <v>22</v>
      </c>
      <c r="B266" s="12">
        <v>441</v>
      </c>
      <c r="C266" s="12">
        <v>405.72</v>
      </c>
      <c r="D266" s="12">
        <v>88.45</v>
      </c>
      <c r="E266" s="12">
        <f>(Table101213[[#This Row],[Unit Price]]-Table101213[[#This Row],[Unit Cost]])*Table101213[[#This Row],[Units Sold]]</f>
        <v>139916.07</v>
      </c>
    </row>
    <row r="267" spans="1:5" ht="15" hidden="1" thickBot="1">
      <c r="A267" s="24" t="s">
        <v>11</v>
      </c>
      <c r="B267" s="21">
        <v>453</v>
      </c>
      <c r="C267" s="21">
        <v>384.49</v>
      </c>
      <c r="D267" s="21">
        <v>56.85</v>
      </c>
      <c r="E267" s="12">
        <f>(Table101213[[#This Row],[Unit Price]]-Table101213[[#This Row],[Unit Cost]])*Table101213[[#This Row],[Units Sold]]</f>
        <v>148420.91999999998</v>
      </c>
    </row>
    <row r="268" spans="1:5" ht="15" thickBot="1">
      <c r="A268" s="25" t="s">
        <v>48</v>
      </c>
      <c r="B268" s="12">
        <v>328</v>
      </c>
      <c r="C268" s="12">
        <v>79.099999999999994</v>
      </c>
      <c r="D268" s="12">
        <v>265.89</v>
      </c>
      <c r="E268" s="12">
        <f>(Table101213[[#This Row],[Unit Price]]-Table101213[[#This Row],[Unit Cost]])*Table101213[[#This Row],[Units Sold]]</f>
        <v>-61267.119999999995</v>
      </c>
    </row>
    <row r="269" spans="1:5" ht="15" hidden="1" thickBot="1">
      <c r="A269" s="24" t="s">
        <v>17</v>
      </c>
      <c r="B269" s="21">
        <v>223</v>
      </c>
      <c r="C269" s="21">
        <v>214.85</v>
      </c>
      <c r="D269" s="21">
        <v>2.75</v>
      </c>
      <c r="E269" s="12">
        <f>(Table101213[[#This Row],[Unit Price]]-Table101213[[#This Row],[Unit Cost]])*Table101213[[#This Row],[Units Sold]]</f>
        <v>47298.299999999996</v>
      </c>
    </row>
    <row r="270" spans="1:5" ht="15" hidden="1" thickBot="1">
      <c r="A270" s="25" t="s">
        <v>17</v>
      </c>
      <c r="B270" s="12">
        <v>126</v>
      </c>
      <c r="C270" s="12">
        <v>80.73</v>
      </c>
      <c r="D270" s="12">
        <v>72.989999999999995</v>
      </c>
      <c r="E270" s="12">
        <f>(Table101213[[#This Row],[Unit Price]]-Table101213[[#This Row],[Unit Cost]])*Table101213[[#This Row],[Units Sold]]</f>
        <v>975.24000000000115</v>
      </c>
    </row>
    <row r="271" spans="1:5" ht="15" hidden="1" thickBot="1">
      <c r="A271" s="24" t="s">
        <v>11</v>
      </c>
      <c r="B271" s="21">
        <v>395</v>
      </c>
      <c r="C271" s="21">
        <v>121.44</v>
      </c>
      <c r="D271" s="21">
        <v>13.57</v>
      </c>
      <c r="E271" s="12">
        <f>(Table101213[[#This Row],[Unit Price]]-Table101213[[#This Row],[Unit Cost]])*Table101213[[#This Row],[Units Sold]]</f>
        <v>42608.65</v>
      </c>
    </row>
    <row r="272" spans="1:5" ht="15" hidden="1" thickBot="1">
      <c r="A272" s="25" t="s">
        <v>11</v>
      </c>
      <c r="B272" s="12">
        <v>353</v>
      </c>
      <c r="C272" s="12">
        <v>435.28</v>
      </c>
      <c r="D272" s="12">
        <v>68.42</v>
      </c>
      <c r="E272" s="12">
        <f>(Table101213[[#This Row],[Unit Price]]-Table101213[[#This Row],[Unit Cost]])*Table101213[[#This Row],[Units Sold]]</f>
        <v>129501.57999999999</v>
      </c>
    </row>
    <row r="273" spans="1:5" ht="15" thickBot="1">
      <c r="A273" s="24" t="s">
        <v>48</v>
      </c>
      <c r="B273" s="21">
        <v>81</v>
      </c>
      <c r="C273" s="21">
        <v>239.08</v>
      </c>
      <c r="D273" s="21">
        <v>74.17</v>
      </c>
      <c r="E273" s="12">
        <f>(Table101213[[#This Row],[Unit Price]]-Table101213[[#This Row],[Unit Cost]])*Table101213[[#This Row],[Units Sold]]</f>
        <v>13357.710000000003</v>
      </c>
    </row>
    <row r="274" spans="1:5" ht="15" hidden="1" thickBot="1">
      <c r="A274" s="25" t="s">
        <v>17</v>
      </c>
      <c r="B274" s="12">
        <v>404</v>
      </c>
      <c r="C274" s="12">
        <v>270</v>
      </c>
      <c r="D274" s="12">
        <v>156.29</v>
      </c>
      <c r="E274" s="12">
        <f>(Table101213[[#This Row],[Unit Price]]-Table101213[[#This Row],[Unit Cost]])*Table101213[[#This Row],[Units Sold]]</f>
        <v>45938.840000000004</v>
      </c>
    </row>
    <row r="275" spans="1:5" ht="15" hidden="1" thickBot="1">
      <c r="A275" s="24" t="s">
        <v>17</v>
      </c>
      <c r="B275" s="21">
        <v>73</v>
      </c>
      <c r="C275" s="21">
        <v>93.33</v>
      </c>
      <c r="D275" s="21">
        <v>162.13</v>
      </c>
      <c r="E275" s="12">
        <f>(Table101213[[#This Row],[Unit Price]]-Table101213[[#This Row],[Unit Cost]])*Table101213[[#This Row],[Units Sold]]</f>
        <v>-5022.3999999999996</v>
      </c>
    </row>
    <row r="276" spans="1:5" ht="15" hidden="1" thickBot="1">
      <c r="A276" s="25" t="s">
        <v>17</v>
      </c>
      <c r="B276" s="12">
        <v>214</v>
      </c>
      <c r="C276" s="12">
        <v>159.57</v>
      </c>
      <c r="D276" s="12">
        <v>349.96</v>
      </c>
      <c r="E276" s="12">
        <f>(Table101213[[#This Row],[Unit Price]]-Table101213[[#This Row],[Unit Cost]])*Table101213[[#This Row],[Units Sold]]</f>
        <v>-40743.46</v>
      </c>
    </row>
    <row r="277" spans="1:5" ht="15" hidden="1" thickBot="1">
      <c r="A277" s="24" t="s">
        <v>22</v>
      </c>
      <c r="B277" s="21">
        <v>218</v>
      </c>
      <c r="C277" s="21">
        <v>118.97</v>
      </c>
      <c r="D277" s="21">
        <v>205.02</v>
      </c>
      <c r="E277" s="12">
        <f>(Table101213[[#This Row],[Unit Price]]-Table101213[[#This Row],[Unit Cost]])*Table101213[[#This Row],[Units Sold]]</f>
        <v>-18758.900000000001</v>
      </c>
    </row>
    <row r="278" spans="1:5" ht="15" hidden="1" thickBot="1">
      <c r="A278" s="25" t="s">
        <v>17</v>
      </c>
      <c r="B278" s="12">
        <v>81</v>
      </c>
      <c r="C278" s="12">
        <v>107.06</v>
      </c>
      <c r="D278" s="12">
        <v>289.92</v>
      </c>
      <c r="E278" s="12">
        <f>(Table101213[[#This Row],[Unit Price]]-Table101213[[#This Row],[Unit Cost]])*Table101213[[#This Row],[Units Sold]]</f>
        <v>-14811.660000000002</v>
      </c>
    </row>
    <row r="279" spans="1:5" ht="15" hidden="1" thickBot="1">
      <c r="A279" s="24" t="s">
        <v>22</v>
      </c>
      <c r="B279" s="21">
        <v>286</v>
      </c>
      <c r="C279" s="21">
        <v>320.79000000000002</v>
      </c>
      <c r="D279" s="21">
        <v>43.45</v>
      </c>
      <c r="E279" s="12">
        <f>(Table101213[[#This Row],[Unit Price]]-Table101213[[#This Row],[Unit Cost]])*Table101213[[#This Row],[Units Sold]]</f>
        <v>79319.240000000005</v>
      </c>
    </row>
    <row r="280" spans="1:5" ht="15" thickBot="1">
      <c r="A280" s="25" t="s">
        <v>48</v>
      </c>
      <c r="B280" s="12">
        <v>283</v>
      </c>
      <c r="C280" s="12">
        <v>132.16</v>
      </c>
      <c r="D280" s="12">
        <v>91.72</v>
      </c>
      <c r="E280" s="12">
        <f>(Table101213[[#This Row],[Unit Price]]-Table101213[[#This Row],[Unit Cost]])*Table101213[[#This Row],[Units Sold]]</f>
        <v>11444.519999999999</v>
      </c>
    </row>
    <row r="281" spans="1:5" ht="15" hidden="1" thickBot="1">
      <c r="A281" s="24" t="s">
        <v>22</v>
      </c>
      <c r="B281" s="21">
        <v>487</v>
      </c>
      <c r="C281" s="21">
        <v>317.85000000000002</v>
      </c>
      <c r="D281" s="21">
        <v>281.77</v>
      </c>
      <c r="E281" s="12">
        <f>(Table101213[[#This Row],[Unit Price]]-Table101213[[#This Row],[Unit Cost]])*Table101213[[#This Row],[Units Sold]]</f>
        <v>17570.960000000021</v>
      </c>
    </row>
    <row r="282" spans="1:5" ht="15" thickBot="1">
      <c r="A282" s="25" t="s">
        <v>48</v>
      </c>
      <c r="B282" s="12">
        <v>329</v>
      </c>
      <c r="C282" s="12">
        <v>33.94</v>
      </c>
      <c r="D282" s="12">
        <v>23.02</v>
      </c>
      <c r="E282" s="12">
        <f>(Table101213[[#This Row],[Unit Price]]-Table101213[[#This Row],[Unit Cost]])*Table101213[[#This Row],[Units Sold]]</f>
        <v>3592.6799999999994</v>
      </c>
    </row>
    <row r="283" spans="1:5" ht="15" hidden="1" thickBot="1">
      <c r="A283" s="24" t="s">
        <v>17</v>
      </c>
      <c r="B283" s="21">
        <v>347</v>
      </c>
      <c r="C283" s="21">
        <v>75.180000000000007</v>
      </c>
      <c r="D283" s="21">
        <v>195.67</v>
      </c>
      <c r="E283" s="12">
        <f>(Table101213[[#This Row],[Unit Price]]-Table101213[[#This Row],[Unit Cost]])*Table101213[[#This Row],[Units Sold]]</f>
        <v>-41810.029999999992</v>
      </c>
    </row>
    <row r="284" spans="1:5" ht="15" hidden="1" thickBot="1">
      <c r="A284" s="25" t="s">
        <v>17</v>
      </c>
      <c r="B284" s="12">
        <v>375</v>
      </c>
      <c r="C284" s="12">
        <v>140.9</v>
      </c>
      <c r="D284" s="12">
        <v>240.55</v>
      </c>
      <c r="E284" s="12">
        <f>(Table101213[[#This Row],[Unit Price]]-Table101213[[#This Row],[Unit Cost]])*Table101213[[#This Row],[Units Sold]]</f>
        <v>-37368.75</v>
      </c>
    </row>
    <row r="285" spans="1:5" ht="15" thickBot="1">
      <c r="A285" s="24" t="s">
        <v>48</v>
      </c>
      <c r="B285" s="21">
        <v>104</v>
      </c>
      <c r="C285" s="21">
        <v>300.54000000000002</v>
      </c>
      <c r="D285" s="21">
        <v>241.65</v>
      </c>
      <c r="E285" s="12">
        <f>(Table101213[[#This Row],[Unit Price]]-Table101213[[#This Row],[Unit Cost]])*Table101213[[#This Row],[Units Sold]]</f>
        <v>6124.5600000000013</v>
      </c>
    </row>
    <row r="286" spans="1:5" ht="15" hidden="1" thickBot="1">
      <c r="A286" s="25" t="s">
        <v>11</v>
      </c>
      <c r="B286" s="12">
        <v>175</v>
      </c>
      <c r="C286" s="12">
        <v>339.54</v>
      </c>
      <c r="D286" s="12">
        <v>11.13</v>
      </c>
      <c r="E286" s="12">
        <f>(Table101213[[#This Row],[Unit Price]]-Table101213[[#This Row],[Unit Cost]])*Table101213[[#This Row],[Units Sold]]</f>
        <v>57471.750000000007</v>
      </c>
    </row>
    <row r="287" spans="1:5" ht="15" thickBot="1">
      <c r="A287" s="24" t="s">
        <v>48</v>
      </c>
      <c r="B287" s="21">
        <v>41</v>
      </c>
      <c r="C287" s="21">
        <v>224.14</v>
      </c>
      <c r="D287" s="21">
        <v>130.19999999999999</v>
      </c>
      <c r="E287" s="12">
        <f>(Table101213[[#This Row],[Unit Price]]-Table101213[[#This Row],[Unit Cost]])*Table101213[[#This Row],[Units Sold]]</f>
        <v>3851.54</v>
      </c>
    </row>
    <row r="288" spans="1:5" ht="15" hidden="1" thickBot="1">
      <c r="A288" s="25" t="s">
        <v>11</v>
      </c>
      <c r="B288" s="12">
        <v>20</v>
      </c>
      <c r="C288" s="12">
        <v>225.67</v>
      </c>
      <c r="D288" s="12">
        <v>255.32</v>
      </c>
      <c r="E288" s="12">
        <f>(Table101213[[#This Row],[Unit Price]]-Table101213[[#This Row],[Unit Cost]])*Table101213[[#This Row],[Units Sold]]</f>
        <v>-593.00000000000011</v>
      </c>
    </row>
    <row r="289" spans="1:5" ht="15" hidden="1" thickBot="1">
      <c r="A289" s="24" t="s">
        <v>22</v>
      </c>
      <c r="B289" s="21">
        <v>310</v>
      </c>
      <c r="C289" s="21">
        <v>363.64</v>
      </c>
      <c r="D289" s="21">
        <v>61.3</v>
      </c>
      <c r="E289" s="12">
        <f>(Table101213[[#This Row],[Unit Price]]-Table101213[[#This Row],[Unit Cost]])*Table101213[[#This Row],[Units Sold]]</f>
        <v>93725.4</v>
      </c>
    </row>
    <row r="290" spans="1:5" ht="15" hidden="1" thickBot="1">
      <c r="A290" s="25" t="s">
        <v>22</v>
      </c>
      <c r="B290" s="12">
        <v>226</v>
      </c>
      <c r="C290" s="12"/>
      <c r="D290" s="12">
        <v>278.77999999999997</v>
      </c>
      <c r="E290" s="12">
        <f>(Table101213[[#This Row],[Unit Price]]-Table101213[[#This Row],[Unit Cost]])*Table101213[[#This Row],[Units Sold]]</f>
        <v>-63004.279999999992</v>
      </c>
    </row>
    <row r="291" spans="1:5" ht="15" hidden="1" thickBot="1">
      <c r="A291" s="24" t="s">
        <v>22</v>
      </c>
      <c r="B291" s="21"/>
      <c r="C291" s="21">
        <v>173.84</v>
      </c>
      <c r="D291" s="21">
        <v>298.88</v>
      </c>
      <c r="E291" s="12">
        <f>(Table101213[[#This Row],[Unit Price]]-Table101213[[#This Row],[Unit Cost]])*Table101213[[#This Row],[Units Sold]]</f>
        <v>0</v>
      </c>
    </row>
    <row r="292" spans="1:5" ht="15" hidden="1" thickBot="1">
      <c r="A292" s="25" t="s">
        <v>17</v>
      </c>
      <c r="B292" s="12">
        <v>111</v>
      </c>
      <c r="C292" s="12">
        <v>410.26</v>
      </c>
      <c r="D292" s="12">
        <v>392.82</v>
      </c>
      <c r="E292" s="12">
        <f>(Table101213[[#This Row],[Unit Price]]-Table101213[[#This Row],[Unit Cost]])*Table101213[[#This Row],[Units Sold]]</f>
        <v>1935.8399999999997</v>
      </c>
    </row>
    <row r="293" spans="1:5" ht="15" hidden="1" thickBot="1">
      <c r="A293" s="24" t="s">
        <v>22</v>
      </c>
      <c r="B293" s="21">
        <v>434</v>
      </c>
      <c r="C293" s="21">
        <v>303.58999999999997</v>
      </c>
      <c r="D293" s="21">
        <v>85.52</v>
      </c>
      <c r="E293" s="12">
        <f>(Table101213[[#This Row],[Unit Price]]-Table101213[[#This Row],[Unit Cost]])*Table101213[[#This Row],[Units Sold]]</f>
        <v>94642.37999999999</v>
      </c>
    </row>
    <row r="294" spans="1:5" ht="15" hidden="1" thickBot="1">
      <c r="A294" s="25" t="s">
        <v>11</v>
      </c>
      <c r="B294" s="12">
        <v>401</v>
      </c>
      <c r="C294" s="12">
        <v>171.93</v>
      </c>
      <c r="D294" s="12">
        <v>330.4</v>
      </c>
      <c r="E294" s="12">
        <f>(Table101213[[#This Row],[Unit Price]]-Table101213[[#This Row],[Unit Cost]])*Table101213[[#This Row],[Units Sold]]</f>
        <v>-63546.469999999987</v>
      </c>
    </row>
    <row r="295" spans="1:5" ht="15" hidden="1" thickBot="1">
      <c r="A295" s="24" t="s">
        <v>22</v>
      </c>
      <c r="B295" s="21">
        <v>276</v>
      </c>
      <c r="C295" s="21">
        <v>453.23</v>
      </c>
      <c r="D295" s="21">
        <v>209.08</v>
      </c>
      <c r="E295" s="12">
        <f>(Table101213[[#This Row],[Unit Price]]-Table101213[[#This Row],[Unit Cost]])*Table101213[[#This Row],[Units Sold]]</f>
        <v>67385.400000000009</v>
      </c>
    </row>
    <row r="296" spans="1:5" ht="15" thickBot="1">
      <c r="A296" s="25" t="s">
        <v>48</v>
      </c>
      <c r="B296" s="12"/>
      <c r="C296" s="12">
        <v>387.45</v>
      </c>
      <c r="D296" s="12">
        <v>150.63999999999999</v>
      </c>
      <c r="E296" s="12">
        <f>(Table101213[[#This Row],[Unit Price]]-Table101213[[#This Row],[Unit Cost]])*Table101213[[#This Row],[Units Sold]]</f>
        <v>0</v>
      </c>
    </row>
    <row r="297" spans="1:5" ht="15" thickBot="1">
      <c r="A297" s="24" t="s">
        <v>48</v>
      </c>
      <c r="B297" s="21">
        <v>188</v>
      </c>
      <c r="C297" s="21">
        <v>136.12</v>
      </c>
      <c r="D297" s="21">
        <v>50.71</v>
      </c>
      <c r="E297" s="12">
        <f>(Table101213[[#This Row],[Unit Price]]-Table101213[[#This Row],[Unit Cost]])*Table101213[[#This Row],[Units Sold]]</f>
        <v>16057.08</v>
      </c>
    </row>
    <row r="298" spans="1:5" ht="15" hidden="1" thickBot="1">
      <c r="A298" s="25" t="s">
        <v>17</v>
      </c>
      <c r="B298" s="12">
        <v>97</v>
      </c>
      <c r="C298" s="12">
        <v>324.42</v>
      </c>
      <c r="D298" s="12">
        <v>294.73</v>
      </c>
      <c r="E298" s="12">
        <f>(Table101213[[#This Row],[Unit Price]]-Table101213[[#This Row],[Unit Cost]])*Table101213[[#This Row],[Units Sold]]</f>
        <v>2879.93</v>
      </c>
    </row>
    <row r="299" spans="1:5" ht="15" thickBot="1">
      <c r="A299" s="24" t="s">
        <v>48</v>
      </c>
      <c r="B299" s="21">
        <v>50</v>
      </c>
      <c r="C299" s="21">
        <v>299.89999999999998</v>
      </c>
      <c r="D299" s="21">
        <v>95.87</v>
      </c>
      <c r="E299" s="12">
        <f>(Table101213[[#This Row],[Unit Price]]-Table101213[[#This Row],[Unit Cost]])*Table101213[[#This Row],[Units Sold]]</f>
        <v>10201.499999999998</v>
      </c>
    </row>
    <row r="300" spans="1:5" ht="15" hidden="1" thickBot="1">
      <c r="A300" s="25" t="s">
        <v>11</v>
      </c>
      <c r="B300" s="12">
        <v>410</v>
      </c>
      <c r="C300" s="12">
        <v>203.59</v>
      </c>
      <c r="D300" s="12">
        <v>149.83000000000001</v>
      </c>
      <c r="E300" s="12">
        <f>(Table101213[[#This Row],[Unit Price]]-Table101213[[#This Row],[Unit Cost]])*Table101213[[#This Row],[Units Sold]]</f>
        <v>22041.599999999995</v>
      </c>
    </row>
    <row r="301" spans="1:5" ht="15" hidden="1" thickBot="1">
      <c r="A301" s="24" t="s">
        <v>22</v>
      </c>
      <c r="B301" s="21">
        <v>85</v>
      </c>
      <c r="C301" s="21">
        <v>186.64</v>
      </c>
      <c r="D301" s="21">
        <v>26.89</v>
      </c>
      <c r="E301" s="12">
        <f>(Table101213[[#This Row],[Unit Price]]-Table101213[[#This Row],[Unit Cost]])*Table101213[[#This Row],[Units Sold]]</f>
        <v>13578.75</v>
      </c>
    </row>
    <row r="302" spans="1:5" ht="15" hidden="1" thickBot="1">
      <c r="A302" s="25" t="s">
        <v>17</v>
      </c>
      <c r="B302" s="12">
        <v>386</v>
      </c>
      <c r="C302" s="12">
        <v>175.06</v>
      </c>
      <c r="D302" s="12">
        <v>320.94</v>
      </c>
      <c r="E302" s="12">
        <f>(Table101213[[#This Row],[Unit Price]]-Table101213[[#This Row],[Unit Cost]])*Table101213[[#This Row],[Units Sold]]</f>
        <v>-56309.68</v>
      </c>
    </row>
    <row r="303" spans="1:5" ht="15" hidden="1" thickBot="1">
      <c r="A303" s="24" t="s">
        <v>22</v>
      </c>
      <c r="B303" s="21">
        <v>55</v>
      </c>
      <c r="C303" s="21">
        <v>310.49</v>
      </c>
      <c r="D303" s="21">
        <v>307.10000000000002</v>
      </c>
      <c r="E303" s="12">
        <f>(Table101213[[#This Row],[Unit Price]]-Table101213[[#This Row],[Unit Cost]])*Table101213[[#This Row],[Units Sold]]</f>
        <v>186.44999999999925</v>
      </c>
    </row>
    <row r="304" spans="1:5" ht="15" hidden="1" thickBot="1">
      <c r="A304" s="25" t="s">
        <v>22</v>
      </c>
      <c r="B304" s="12">
        <v>169</v>
      </c>
      <c r="C304" s="12">
        <v>223.99</v>
      </c>
      <c r="D304" s="12">
        <v>293.98</v>
      </c>
      <c r="E304" s="12">
        <f>(Table101213[[#This Row],[Unit Price]]-Table101213[[#This Row],[Unit Cost]])*Table101213[[#This Row],[Units Sold]]</f>
        <v>-11828.310000000001</v>
      </c>
    </row>
    <row r="305" spans="1:5" ht="15" hidden="1" thickBot="1">
      <c r="A305" s="24" t="s">
        <v>11</v>
      </c>
      <c r="B305" s="21">
        <v>472</v>
      </c>
      <c r="C305" s="21">
        <v>416.77</v>
      </c>
      <c r="D305" s="21">
        <v>121.18</v>
      </c>
      <c r="E305" s="12">
        <f>(Table101213[[#This Row],[Unit Price]]-Table101213[[#This Row],[Unit Cost]])*Table101213[[#This Row],[Units Sold]]</f>
        <v>139518.47999999998</v>
      </c>
    </row>
    <row r="306" spans="1:5" ht="15" thickBot="1">
      <c r="A306" s="25" t="s">
        <v>48</v>
      </c>
      <c r="B306" s="12">
        <v>89</v>
      </c>
      <c r="C306" s="12">
        <v>336.45</v>
      </c>
      <c r="D306" s="12">
        <v>71.05</v>
      </c>
      <c r="E306" s="12">
        <f>(Table101213[[#This Row],[Unit Price]]-Table101213[[#This Row],[Unit Cost]])*Table101213[[#This Row],[Units Sold]]</f>
        <v>23620.6</v>
      </c>
    </row>
    <row r="307" spans="1:5" ht="15" thickBot="1">
      <c r="A307" s="24" t="s">
        <v>48</v>
      </c>
      <c r="B307" s="21">
        <v>319</v>
      </c>
      <c r="C307" s="21">
        <v>39.619999999999997</v>
      </c>
      <c r="D307" s="21">
        <v>255.75</v>
      </c>
      <c r="E307" s="12">
        <f>(Table101213[[#This Row],[Unit Price]]-Table101213[[#This Row],[Unit Cost]])*Table101213[[#This Row],[Units Sold]]</f>
        <v>-68945.47</v>
      </c>
    </row>
    <row r="308" spans="1:5" ht="15" hidden="1" thickBot="1">
      <c r="A308" s="25" t="s">
        <v>22</v>
      </c>
      <c r="B308" s="12">
        <v>95</v>
      </c>
      <c r="C308" s="12">
        <v>321.88</v>
      </c>
      <c r="D308" s="12">
        <v>199.47</v>
      </c>
      <c r="E308" s="12">
        <f>(Table101213[[#This Row],[Unit Price]]-Table101213[[#This Row],[Unit Cost]])*Table101213[[#This Row],[Units Sold]]</f>
        <v>11628.949999999999</v>
      </c>
    </row>
    <row r="309" spans="1:5" ht="15" hidden="1" thickBot="1">
      <c r="A309" s="24" t="s">
        <v>17</v>
      </c>
      <c r="B309" s="21">
        <v>101</v>
      </c>
      <c r="C309" s="21">
        <v>139.22</v>
      </c>
      <c r="D309" s="21">
        <v>72.94</v>
      </c>
      <c r="E309" s="12">
        <f>(Table101213[[#This Row],[Unit Price]]-Table101213[[#This Row],[Unit Cost]])*Table101213[[#This Row],[Units Sold]]</f>
        <v>6694.28</v>
      </c>
    </row>
    <row r="310" spans="1:5" ht="15" thickBot="1">
      <c r="A310" s="25" t="s">
        <v>48</v>
      </c>
      <c r="B310" s="12">
        <v>157</v>
      </c>
      <c r="C310" s="12"/>
      <c r="D310" s="12">
        <v>274.99</v>
      </c>
      <c r="E310" s="12">
        <f>(Table101213[[#This Row],[Unit Price]]-Table101213[[#This Row],[Unit Cost]])*Table101213[[#This Row],[Units Sold]]</f>
        <v>-43173.43</v>
      </c>
    </row>
    <row r="311" spans="1:5" ht="15" hidden="1" thickBot="1">
      <c r="A311" s="24" t="s">
        <v>17</v>
      </c>
      <c r="B311" s="21">
        <v>170</v>
      </c>
      <c r="C311" s="21">
        <v>341.67</v>
      </c>
      <c r="D311" s="21">
        <v>396.47</v>
      </c>
      <c r="E311" s="12">
        <f>(Table101213[[#This Row],[Unit Price]]-Table101213[[#This Row],[Unit Cost]])*Table101213[[#This Row],[Units Sold]]</f>
        <v>-9316.0000000000018</v>
      </c>
    </row>
    <row r="312" spans="1:5" ht="15" thickBot="1">
      <c r="A312" s="25" t="s">
        <v>48</v>
      </c>
      <c r="B312" s="12">
        <v>211</v>
      </c>
      <c r="C312" s="12">
        <v>119.26</v>
      </c>
      <c r="D312" s="12">
        <v>299.39</v>
      </c>
      <c r="E312" s="12">
        <f>(Table101213[[#This Row],[Unit Price]]-Table101213[[#This Row],[Unit Cost]])*Table101213[[#This Row],[Units Sold]]</f>
        <v>-38007.43</v>
      </c>
    </row>
    <row r="313" spans="1:5" ht="15" hidden="1" thickBot="1">
      <c r="A313" s="24" t="s">
        <v>17</v>
      </c>
      <c r="B313" s="21">
        <v>433</v>
      </c>
      <c r="C313" s="21">
        <v>231.15</v>
      </c>
      <c r="D313" s="21">
        <v>296.51</v>
      </c>
      <c r="E313" s="12">
        <f>(Table101213[[#This Row],[Unit Price]]-Table101213[[#This Row],[Unit Cost]])*Table101213[[#This Row],[Units Sold]]</f>
        <v>-28300.879999999994</v>
      </c>
    </row>
    <row r="314" spans="1:5" ht="15" hidden="1" thickBot="1">
      <c r="A314" s="25" t="s">
        <v>11</v>
      </c>
      <c r="B314" s="12">
        <v>425</v>
      </c>
      <c r="C314" s="12">
        <v>99.21</v>
      </c>
      <c r="D314" s="12">
        <v>380.22</v>
      </c>
      <c r="E314" s="12">
        <f>(Table101213[[#This Row],[Unit Price]]-Table101213[[#This Row],[Unit Cost]])*Table101213[[#This Row],[Units Sold]]</f>
        <v>-119429.25000000001</v>
      </c>
    </row>
    <row r="315" spans="1:5" ht="15" hidden="1" thickBot="1">
      <c r="A315" s="24" t="s">
        <v>17</v>
      </c>
      <c r="B315" s="21">
        <v>251</v>
      </c>
      <c r="C315" s="21">
        <v>30.91</v>
      </c>
      <c r="D315" s="21">
        <v>82.77</v>
      </c>
      <c r="E315" s="12">
        <f>(Table101213[[#This Row],[Unit Price]]-Table101213[[#This Row],[Unit Cost]])*Table101213[[#This Row],[Units Sold]]</f>
        <v>-13016.86</v>
      </c>
    </row>
    <row r="316" spans="1:5" ht="15" hidden="1" thickBot="1">
      <c r="A316" s="25" t="s">
        <v>11</v>
      </c>
      <c r="B316" s="12"/>
      <c r="C316" s="12">
        <v>192.35</v>
      </c>
      <c r="D316" s="12">
        <v>227.09</v>
      </c>
      <c r="E316" s="12">
        <f>(Table101213[[#This Row],[Unit Price]]-Table101213[[#This Row],[Unit Cost]])*Table101213[[#This Row],[Units Sold]]</f>
        <v>0</v>
      </c>
    </row>
    <row r="317" spans="1:5" ht="15" hidden="1" thickBot="1">
      <c r="A317" s="24" t="s">
        <v>11</v>
      </c>
      <c r="B317" s="21">
        <v>11</v>
      </c>
      <c r="C317" s="21">
        <v>184.66</v>
      </c>
      <c r="D317" s="21">
        <v>391.9</v>
      </c>
      <c r="E317" s="12">
        <f>(Table101213[[#This Row],[Unit Price]]-Table101213[[#This Row],[Unit Cost]])*Table101213[[#This Row],[Units Sold]]</f>
        <v>-2279.64</v>
      </c>
    </row>
    <row r="318" spans="1:5" ht="15" hidden="1" thickBot="1">
      <c r="A318" s="25" t="s">
        <v>17</v>
      </c>
      <c r="B318" s="12">
        <v>234</v>
      </c>
      <c r="C318" s="12">
        <v>497.76</v>
      </c>
      <c r="D318" s="12">
        <v>67.790000000000006</v>
      </c>
      <c r="E318" s="12">
        <f>(Table101213[[#This Row],[Unit Price]]-Table101213[[#This Row],[Unit Cost]])*Table101213[[#This Row],[Units Sold]]</f>
        <v>100612.98</v>
      </c>
    </row>
    <row r="319" spans="1:5" ht="15" hidden="1" thickBot="1">
      <c r="A319" s="24" t="s">
        <v>11</v>
      </c>
      <c r="B319" s="21"/>
      <c r="C319" s="21">
        <v>225.94</v>
      </c>
      <c r="D319" s="21">
        <v>280.7</v>
      </c>
      <c r="E319" s="12">
        <f>(Table101213[[#This Row],[Unit Price]]-Table101213[[#This Row],[Unit Cost]])*Table101213[[#This Row],[Units Sold]]</f>
        <v>0</v>
      </c>
    </row>
    <row r="320" spans="1:5" ht="15" hidden="1" thickBot="1">
      <c r="A320" s="25" t="s">
        <v>22</v>
      </c>
      <c r="B320" s="12">
        <v>242</v>
      </c>
      <c r="C320" s="12">
        <v>170.12</v>
      </c>
      <c r="D320" s="12">
        <v>235.15</v>
      </c>
      <c r="E320" s="12">
        <f>(Table101213[[#This Row],[Unit Price]]-Table101213[[#This Row],[Unit Cost]])*Table101213[[#This Row],[Units Sold]]</f>
        <v>-15737.26</v>
      </c>
    </row>
    <row r="321" spans="1:5" ht="15" hidden="1" thickBot="1">
      <c r="A321" s="24" t="s">
        <v>11</v>
      </c>
      <c r="B321" s="21">
        <v>470</v>
      </c>
      <c r="C321" s="21">
        <v>292.33999999999997</v>
      </c>
      <c r="D321" s="21">
        <v>235.42</v>
      </c>
      <c r="E321" s="12">
        <f>(Table101213[[#This Row],[Unit Price]]-Table101213[[#This Row],[Unit Cost]])*Table101213[[#This Row],[Units Sold]]</f>
        <v>26752.399999999994</v>
      </c>
    </row>
    <row r="322" spans="1:5" ht="15" thickBot="1">
      <c r="A322" s="25" t="s">
        <v>48</v>
      </c>
      <c r="B322" s="12">
        <v>423</v>
      </c>
      <c r="C322" s="12">
        <v>48.94</v>
      </c>
      <c r="D322" s="12">
        <v>279.67</v>
      </c>
      <c r="E322" s="12">
        <f>(Table101213[[#This Row],[Unit Price]]-Table101213[[#This Row],[Unit Cost]])*Table101213[[#This Row],[Units Sold]]</f>
        <v>-97598.790000000008</v>
      </c>
    </row>
    <row r="323" spans="1:5" ht="15" hidden="1" thickBot="1">
      <c r="A323" s="24" t="s">
        <v>17</v>
      </c>
      <c r="B323" s="21">
        <v>426</v>
      </c>
      <c r="C323" s="21">
        <v>481.02</v>
      </c>
      <c r="D323" s="21">
        <v>371.99</v>
      </c>
      <c r="E323" s="12">
        <f>(Table101213[[#This Row],[Unit Price]]-Table101213[[#This Row],[Unit Cost]])*Table101213[[#This Row],[Units Sold]]</f>
        <v>46446.779999999992</v>
      </c>
    </row>
    <row r="324" spans="1:5" ht="15" hidden="1" thickBot="1">
      <c r="A324" s="25" t="s">
        <v>22</v>
      </c>
      <c r="B324" s="12">
        <v>86</v>
      </c>
      <c r="C324" s="12">
        <v>319.31</v>
      </c>
      <c r="D324" s="12">
        <v>313.47000000000003</v>
      </c>
      <c r="E324" s="12">
        <f>(Table101213[[#This Row],[Unit Price]]-Table101213[[#This Row],[Unit Cost]])*Table101213[[#This Row],[Units Sold]]</f>
        <v>502.23999999999785</v>
      </c>
    </row>
    <row r="325" spans="1:5" ht="15" hidden="1" thickBot="1">
      <c r="A325" s="24" t="s">
        <v>17</v>
      </c>
      <c r="B325" s="21">
        <v>125</v>
      </c>
      <c r="C325" s="21">
        <v>378.64</v>
      </c>
      <c r="D325" s="21">
        <v>24.34</v>
      </c>
      <c r="E325" s="12">
        <f>(Table101213[[#This Row],[Unit Price]]-Table101213[[#This Row],[Unit Cost]])*Table101213[[#This Row],[Units Sold]]</f>
        <v>44287.5</v>
      </c>
    </row>
    <row r="326" spans="1:5" ht="15" thickBot="1">
      <c r="A326" s="25" t="s">
        <v>48</v>
      </c>
      <c r="B326" s="12">
        <v>163</v>
      </c>
      <c r="C326" s="12">
        <v>89.39</v>
      </c>
      <c r="D326" s="12">
        <v>341.39</v>
      </c>
      <c r="E326" s="12">
        <f>(Table101213[[#This Row],[Unit Price]]-Table101213[[#This Row],[Unit Cost]])*Table101213[[#This Row],[Units Sold]]</f>
        <v>-41076</v>
      </c>
    </row>
    <row r="327" spans="1:5" ht="15" thickBot="1">
      <c r="A327" s="24" t="s">
        <v>48</v>
      </c>
      <c r="B327" s="21">
        <v>415</v>
      </c>
      <c r="C327" s="21">
        <v>207.69</v>
      </c>
      <c r="D327" s="21">
        <v>91.77</v>
      </c>
      <c r="E327" s="12">
        <f>(Table101213[[#This Row],[Unit Price]]-Table101213[[#This Row],[Unit Cost]])*Table101213[[#This Row],[Units Sold]]</f>
        <v>48106.8</v>
      </c>
    </row>
    <row r="328" spans="1:5" ht="15" thickBot="1">
      <c r="A328" s="25" t="s">
        <v>48</v>
      </c>
      <c r="B328" s="12">
        <v>112</v>
      </c>
      <c r="C328" s="12">
        <v>214.23</v>
      </c>
      <c r="D328" s="12">
        <v>152.01</v>
      </c>
      <c r="E328" s="12">
        <f>(Table101213[[#This Row],[Unit Price]]-Table101213[[#This Row],[Unit Cost]])*Table101213[[#This Row],[Units Sold]]</f>
        <v>6968.6399999999994</v>
      </c>
    </row>
    <row r="329" spans="1:5" ht="15" hidden="1" thickBot="1">
      <c r="A329" s="24" t="s">
        <v>11</v>
      </c>
      <c r="B329" s="21">
        <v>203</v>
      </c>
      <c r="C329" s="21">
        <v>411.79</v>
      </c>
      <c r="D329" s="21">
        <v>185.77</v>
      </c>
      <c r="E329" s="12">
        <f>(Table101213[[#This Row],[Unit Price]]-Table101213[[#This Row],[Unit Cost]])*Table101213[[#This Row],[Units Sold]]</f>
        <v>45882.060000000005</v>
      </c>
    </row>
    <row r="330" spans="1:5" ht="15" hidden="1" thickBot="1">
      <c r="A330" s="25" t="s">
        <v>11</v>
      </c>
      <c r="B330" s="12"/>
      <c r="C330" s="12">
        <v>5.61</v>
      </c>
      <c r="D330" s="12">
        <v>193.4</v>
      </c>
      <c r="E330" s="12">
        <f>(Table101213[[#This Row],[Unit Price]]-Table101213[[#This Row],[Unit Cost]])*Table101213[[#This Row],[Units Sold]]</f>
        <v>0</v>
      </c>
    </row>
    <row r="331" spans="1:5" ht="15" hidden="1" thickBot="1">
      <c r="A331" s="24" t="s">
        <v>17</v>
      </c>
      <c r="B331" s="21">
        <v>368</v>
      </c>
      <c r="C331" s="21">
        <v>153.91999999999999</v>
      </c>
      <c r="D331" s="21">
        <v>175.2</v>
      </c>
      <c r="E331" s="12">
        <f>(Table101213[[#This Row],[Unit Price]]-Table101213[[#This Row],[Unit Cost]])*Table101213[[#This Row],[Units Sold]]</f>
        <v>-7831.0400000000009</v>
      </c>
    </row>
    <row r="332" spans="1:5" ht="15" hidden="1" thickBot="1">
      <c r="A332" s="25" t="s">
        <v>17</v>
      </c>
      <c r="B332" s="12">
        <v>99</v>
      </c>
      <c r="C332" s="12">
        <v>490.71</v>
      </c>
      <c r="D332" s="12">
        <v>375.07</v>
      </c>
      <c r="E332" s="12">
        <f>(Table101213[[#This Row],[Unit Price]]-Table101213[[#This Row],[Unit Cost]])*Table101213[[#This Row],[Units Sold]]</f>
        <v>11448.359999999999</v>
      </c>
    </row>
    <row r="333" spans="1:5" ht="15" hidden="1" thickBot="1">
      <c r="A333" s="24" t="s">
        <v>22</v>
      </c>
      <c r="B333" s="21">
        <v>183</v>
      </c>
      <c r="C333" s="21">
        <v>240.07</v>
      </c>
      <c r="D333" s="21">
        <v>283</v>
      </c>
      <c r="E333" s="12">
        <f>(Table101213[[#This Row],[Unit Price]]-Table101213[[#This Row],[Unit Cost]])*Table101213[[#This Row],[Units Sold]]</f>
        <v>-7856.1900000000014</v>
      </c>
    </row>
    <row r="334" spans="1:5" ht="15" hidden="1" thickBot="1">
      <c r="A334" s="25"/>
      <c r="B334" s="12">
        <v>131</v>
      </c>
      <c r="C334" s="12">
        <v>194.35</v>
      </c>
      <c r="D334" s="12">
        <v>253.21</v>
      </c>
      <c r="E334" s="12">
        <f>(Table101213[[#This Row],[Unit Price]]-Table101213[[#This Row],[Unit Cost]])*Table101213[[#This Row],[Units Sold]]</f>
        <v>-7710.6600000000017</v>
      </c>
    </row>
    <row r="335" spans="1:5" ht="15" hidden="1" thickBot="1">
      <c r="A335" s="24" t="s">
        <v>17</v>
      </c>
      <c r="B335" s="21">
        <v>152</v>
      </c>
      <c r="C335" s="21">
        <v>64.319999999999993</v>
      </c>
      <c r="D335" s="21">
        <v>21.84</v>
      </c>
      <c r="E335" s="12">
        <f>(Table101213[[#This Row],[Unit Price]]-Table101213[[#This Row],[Unit Cost]])*Table101213[[#This Row],[Units Sold]]</f>
        <v>6456.9599999999982</v>
      </c>
    </row>
    <row r="336" spans="1:5" ht="15" hidden="1" thickBot="1">
      <c r="A336" s="25" t="s">
        <v>11</v>
      </c>
      <c r="B336" s="12">
        <v>491</v>
      </c>
      <c r="C336" s="12">
        <v>487.21</v>
      </c>
      <c r="D336" s="12">
        <v>361.76</v>
      </c>
      <c r="E336" s="12">
        <f>(Table101213[[#This Row],[Unit Price]]-Table101213[[#This Row],[Unit Cost]])*Table101213[[#This Row],[Units Sold]]</f>
        <v>61595.95</v>
      </c>
    </row>
    <row r="337" spans="1:5" ht="15" thickBot="1">
      <c r="A337" s="24" t="s">
        <v>48</v>
      </c>
      <c r="B337" s="21">
        <v>115</v>
      </c>
      <c r="C337" s="21">
        <v>14.91</v>
      </c>
      <c r="D337" s="21">
        <v>363.94</v>
      </c>
      <c r="E337" s="12">
        <f>(Table101213[[#This Row],[Unit Price]]-Table101213[[#This Row],[Unit Cost]])*Table101213[[#This Row],[Units Sold]]</f>
        <v>-40138.449999999997</v>
      </c>
    </row>
    <row r="338" spans="1:5" ht="15" hidden="1" thickBot="1">
      <c r="A338" s="25" t="s">
        <v>17</v>
      </c>
      <c r="B338" s="12">
        <v>384</v>
      </c>
      <c r="C338" s="12">
        <v>369.9</v>
      </c>
      <c r="D338" s="12">
        <v>312.52</v>
      </c>
      <c r="E338" s="12">
        <f>(Table101213[[#This Row],[Unit Price]]-Table101213[[#This Row],[Unit Cost]])*Table101213[[#This Row],[Units Sold]]</f>
        <v>22033.919999999998</v>
      </c>
    </row>
    <row r="339" spans="1:5" ht="15" hidden="1" thickBot="1">
      <c r="A339" s="24" t="s">
        <v>22</v>
      </c>
      <c r="B339" s="21">
        <v>437</v>
      </c>
      <c r="C339" s="21">
        <v>385.46</v>
      </c>
      <c r="D339" s="21">
        <v>4.8</v>
      </c>
      <c r="E339" s="12">
        <f>(Table101213[[#This Row],[Unit Price]]-Table101213[[#This Row],[Unit Cost]])*Table101213[[#This Row],[Units Sold]]</f>
        <v>166348.41999999998</v>
      </c>
    </row>
    <row r="340" spans="1:5" ht="15" hidden="1" thickBot="1">
      <c r="A340" s="25" t="s">
        <v>11</v>
      </c>
      <c r="B340" s="12">
        <v>314</v>
      </c>
      <c r="C340" s="12">
        <v>125.61</v>
      </c>
      <c r="D340" s="12">
        <v>24.8</v>
      </c>
      <c r="E340" s="12">
        <f>(Table101213[[#This Row],[Unit Price]]-Table101213[[#This Row],[Unit Cost]])*Table101213[[#This Row],[Units Sold]]</f>
        <v>31654.34</v>
      </c>
    </row>
    <row r="341" spans="1:5" ht="15" hidden="1" thickBot="1">
      <c r="A341" s="24" t="s">
        <v>17</v>
      </c>
      <c r="B341" s="21">
        <v>369</v>
      </c>
      <c r="C341" s="21">
        <v>337.42</v>
      </c>
      <c r="D341" s="21">
        <v>91.64</v>
      </c>
      <c r="E341" s="12">
        <f>(Table101213[[#This Row],[Unit Price]]-Table101213[[#This Row],[Unit Cost]])*Table101213[[#This Row],[Units Sold]]</f>
        <v>90692.82</v>
      </c>
    </row>
    <row r="342" spans="1:5" ht="15" hidden="1" thickBot="1">
      <c r="A342" s="25" t="s">
        <v>17</v>
      </c>
      <c r="B342" s="12">
        <v>468</v>
      </c>
      <c r="C342" s="12">
        <v>51</v>
      </c>
      <c r="D342" s="12">
        <v>54.28</v>
      </c>
      <c r="E342" s="12">
        <f>(Table101213[[#This Row],[Unit Price]]-Table101213[[#This Row],[Unit Cost]])*Table101213[[#This Row],[Units Sold]]</f>
        <v>-1535.0400000000004</v>
      </c>
    </row>
    <row r="343" spans="1:5" ht="15" hidden="1" thickBot="1">
      <c r="A343" s="24" t="s">
        <v>11</v>
      </c>
      <c r="B343" s="21">
        <v>326</v>
      </c>
      <c r="C343" s="21">
        <v>132.24</v>
      </c>
      <c r="D343" s="21">
        <v>160.74</v>
      </c>
      <c r="E343" s="12">
        <f>(Table101213[[#This Row],[Unit Price]]-Table101213[[#This Row],[Unit Cost]])*Table101213[[#This Row],[Units Sold]]</f>
        <v>-9291</v>
      </c>
    </row>
    <row r="344" spans="1:5" ht="15" hidden="1" thickBot="1">
      <c r="A344" s="25" t="s">
        <v>17</v>
      </c>
      <c r="B344" s="12">
        <v>460</v>
      </c>
      <c r="C344" s="12">
        <v>395.01</v>
      </c>
      <c r="D344" s="12">
        <v>369.2</v>
      </c>
      <c r="E344" s="12">
        <f>(Table101213[[#This Row],[Unit Price]]-Table101213[[#This Row],[Unit Cost]])*Table101213[[#This Row],[Units Sold]]</f>
        <v>11872.6</v>
      </c>
    </row>
    <row r="345" spans="1:5" ht="15" hidden="1" thickBot="1">
      <c r="A345" s="24" t="s">
        <v>11</v>
      </c>
      <c r="B345" s="21">
        <v>132</v>
      </c>
      <c r="C345" s="21">
        <v>433.02</v>
      </c>
      <c r="D345" s="21">
        <v>189.88</v>
      </c>
      <c r="E345" s="12">
        <f>(Table101213[[#This Row],[Unit Price]]-Table101213[[#This Row],[Unit Cost]])*Table101213[[#This Row],[Units Sold]]</f>
        <v>32094.48</v>
      </c>
    </row>
    <row r="346" spans="1:5" ht="15" thickBot="1">
      <c r="A346" s="25" t="s">
        <v>48</v>
      </c>
      <c r="B346" s="12">
        <v>399</v>
      </c>
      <c r="C346" s="12">
        <v>306.2</v>
      </c>
      <c r="D346" s="12">
        <v>7.33</v>
      </c>
      <c r="E346" s="12">
        <f>(Table101213[[#This Row],[Unit Price]]-Table101213[[#This Row],[Unit Cost]])*Table101213[[#This Row],[Units Sold]]</f>
        <v>119249.13</v>
      </c>
    </row>
    <row r="347" spans="1:5" ht="15" hidden="1" thickBot="1">
      <c r="A347" s="24" t="s">
        <v>11</v>
      </c>
      <c r="B347" s="21">
        <v>18</v>
      </c>
      <c r="C347" s="21">
        <v>255.89</v>
      </c>
      <c r="D347" s="21">
        <v>114.53</v>
      </c>
      <c r="E347" s="12">
        <f>(Table101213[[#This Row],[Unit Price]]-Table101213[[#This Row],[Unit Cost]])*Table101213[[#This Row],[Units Sold]]</f>
        <v>2544.4799999999996</v>
      </c>
    </row>
    <row r="348" spans="1:5" ht="15" hidden="1" thickBot="1">
      <c r="A348" s="25" t="s">
        <v>11</v>
      </c>
      <c r="B348" s="12">
        <v>271</v>
      </c>
      <c r="C348" s="12">
        <v>83.86</v>
      </c>
      <c r="D348" s="12">
        <v>19.75</v>
      </c>
      <c r="E348" s="12">
        <f>(Table101213[[#This Row],[Unit Price]]-Table101213[[#This Row],[Unit Cost]])*Table101213[[#This Row],[Units Sold]]</f>
        <v>17373.810000000001</v>
      </c>
    </row>
    <row r="349" spans="1:5" ht="15" hidden="1" thickBot="1">
      <c r="A349" s="24"/>
      <c r="B349" s="21">
        <v>82</v>
      </c>
      <c r="C349" s="21">
        <v>36.24</v>
      </c>
      <c r="D349" s="21">
        <v>16.440000000000001</v>
      </c>
      <c r="E349" s="12">
        <f>(Table101213[[#This Row],[Unit Price]]-Table101213[[#This Row],[Unit Cost]])*Table101213[[#This Row],[Units Sold]]</f>
        <v>1623.6000000000001</v>
      </c>
    </row>
    <row r="350" spans="1:5" ht="15" hidden="1" thickBot="1">
      <c r="A350" s="25" t="s">
        <v>17</v>
      </c>
      <c r="B350" s="12">
        <v>368</v>
      </c>
      <c r="C350" s="12">
        <v>63.24</v>
      </c>
      <c r="D350" s="12">
        <v>111.74</v>
      </c>
      <c r="E350" s="12">
        <f>(Table101213[[#This Row],[Unit Price]]-Table101213[[#This Row],[Unit Cost]])*Table101213[[#This Row],[Units Sold]]</f>
        <v>-17847.999999999996</v>
      </c>
    </row>
    <row r="351" spans="1:5" ht="15" hidden="1" thickBot="1">
      <c r="A351" s="24" t="s">
        <v>17</v>
      </c>
      <c r="B351" s="21">
        <v>232</v>
      </c>
      <c r="C351" s="21">
        <v>117.54</v>
      </c>
      <c r="D351" s="21">
        <v>111.69</v>
      </c>
      <c r="E351" s="12">
        <f>(Table101213[[#This Row],[Unit Price]]-Table101213[[#This Row],[Unit Cost]])*Table101213[[#This Row],[Units Sold]]</f>
        <v>1357.2000000000021</v>
      </c>
    </row>
    <row r="352" spans="1:5" hidden="1">
      <c r="A352" s="30" t="s">
        <v>11</v>
      </c>
      <c r="B352" s="14">
        <v>425</v>
      </c>
      <c r="C352" s="14">
        <v>174.13</v>
      </c>
      <c r="D352" s="14">
        <v>315.27999999999997</v>
      </c>
      <c r="E352" s="14">
        <f>(Table101213[[#This Row],[Unit Price]]-Table101213[[#This Row],[Unit Cost]])*Table101213[[#This Row],[Units Sold]]</f>
        <v>-59988.749999999993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39F0-087E-47F8-82A2-DAD9D5356963}">
  <dimension ref="A2:G3"/>
  <sheetViews>
    <sheetView topLeftCell="A2" workbookViewId="0">
      <selection activeCell="J4" sqref="J4"/>
    </sheetView>
  </sheetViews>
  <sheetFormatPr defaultRowHeight="14.4"/>
  <cols>
    <col min="1" max="1" width="12" bestFit="1" customWidth="1"/>
    <col min="3" max="3" width="12.6640625" bestFit="1" customWidth="1"/>
    <col min="5" max="5" width="14.109375" bestFit="1" customWidth="1"/>
    <col min="7" max="7" width="13.88671875" bestFit="1" customWidth="1"/>
  </cols>
  <sheetData>
    <row r="2" spans="1:7">
      <c r="A2" s="26" t="s">
        <v>406</v>
      </c>
      <c r="C2" s="26" t="s">
        <v>407</v>
      </c>
      <c r="E2" s="26" t="s">
        <v>408</v>
      </c>
      <c r="G2" s="26" t="s">
        <v>409</v>
      </c>
    </row>
    <row r="3" spans="1:7">
      <c r="A3" s="26">
        <f>AVERAGEIF(Table9[Region],"East",Table9[Profit])</f>
        <v>12298.258461538459</v>
      </c>
      <c r="C3" s="26">
        <v>10632.104789999999</v>
      </c>
      <c r="E3" s="26">
        <v>16608.10526</v>
      </c>
      <c r="G3" s="26">
        <v>16389.779869999998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3079-A902-48C1-BE00-608226761CFB}">
  <dimension ref="A1:J354"/>
  <sheetViews>
    <sheetView workbookViewId="0">
      <selection activeCell="H4" sqref="H4:I354"/>
    </sheetView>
  </sheetViews>
  <sheetFormatPr defaultRowHeight="14.4"/>
  <cols>
    <col min="1" max="1" width="12.44140625" bestFit="1" customWidth="1"/>
    <col min="3" max="3" width="12.21875" bestFit="1" customWidth="1"/>
    <col min="4" max="4" width="13" bestFit="1" customWidth="1"/>
    <col min="5" max="5" width="12.33203125" bestFit="1" customWidth="1"/>
    <col min="6" max="6" width="11.5546875" bestFit="1" customWidth="1"/>
    <col min="7" max="7" width="15.44140625" bestFit="1" customWidth="1"/>
    <col min="8" max="8" width="9.77734375" bestFit="1" customWidth="1"/>
    <col min="9" max="9" width="9.5546875" bestFit="1" customWidth="1"/>
  </cols>
  <sheetData>
    <row r="1" spans="1:10">
      <c r="A1" s="7" t="s">
        <v>410</v>
      </c>
    </row>
    <row r="2" spans="1:10">
      <c r="A2" s="7" t="s">
        <v>411</v>
      </c>
    </row>
    <row r="3" spans="1:10">
      <c r="A3" s="7"/>
    </row>
    <row r="4" spans="1:10" ht="29.4" thickBo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29.4" thickBo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</row>
    <row r="6" spans="1:10" ht="15" thickBot="1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</row>
    <row r="7" spans="1:10" ht="15" thickBot="1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</row>
    <row r="8" spans="1:10" ht="15" thickBot="1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</row>
    <row r="9" spans="1:10" ht="15" thickBot="1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</row>
    <row r="10" spans="1:10" ht="15" thickBot="1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</row>
    <row r="11" spans="1:10" ht="15" thickBot="1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</row>
    <row r="12" spans="1:10" ht="29.4" thickBot="1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</row>
    <row r="13" spans="1:10" ht="29.4" thickBot="1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</row>
    <row r="14" spans="1:10" ht="15" thickBot="1">
      <c r="A14" s="3" t="s">
        <v>35</v>
      </c>
      <c r="B14" s="3"/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</row>
    <row r="15" spans="1:10" ht="15" thickBot="1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</row>
    <row r="16" spans="1:10" ht="15" thickBot="1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</row>
    <row r="17" spans="1:10" ht="15" thickBot="1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</row>
    <row r="18" spans="1:10" ht="15" thickBot="1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</row>
    <row r="19" spans="1:10" ht="29.4" thickBot="1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</row>
    <row r="20" spans="1:10" ht="29.4" thickBot="1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</row>
    <row r="21" spans="1:10" ht="29.4" thickBot="1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</row>
    <row r="22" spans="1:10" ht="15" thickBot="1">
      <c r="A22" s="3" t="s">
        <v>44</v>
      </c>
      <c r="B22" s="3"/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</row>
    <row r="23" spans="1:10" ht="29.4" thickBot="1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</row>
    <row r="24" spans="1:10" ht="15" thickBot="1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</row>
    <row r="25" spans="1:10" ht="29.4" thickBot="1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</row>
    <row r="26" spans="1:10" ht="15" thickBot="1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</row>
    <row r="27" spans="1:10" ht="29.4" thickBot="1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</row>
    <row r="28" spans="1:10" ht="29.4" thickBot="1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</row>
    <row r="29" spans="1:10" ht="15" thickBot="1">
      <c r="A29" s="3" t="s">
        <v>53</v>
      </c>
      <c r="B29" s="3" t="s">
        <v>17</v>
      </c>
      <c r="C29" s="3" t="s">
        <v>18</v>
      </c>
      <c r="D29" s="3"/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</row>
    <row r="30" spans="1:10" ht="29.4" thickBot="1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</row>
    <row r="31" spans="1:10" ht="15" thickBot="1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</row>
    <row r="32" spans="1:10" ht="15" thickBot="1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3"/>
      <c r="J32" s="3">
        <v>383.01</v>
      </c>
    </row>
    <row r="33" spans="1:10" ht="29.4" thickBot="1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</row>
    <row r="34" spans="1:10" ht="29.4" thickBot="1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</row>
    <row r="35" spans="1:10" ht="29.4" thickBot="1">
      <c r="A35" s="3" t="s">
        <v>59</v>
      </c>
      <c r="B35" s="3"/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</row>
    <row r="36" spans="1:10" ht="29.4" thickBot="1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</row>
    <row r="37" spans="1:10" ht="29.4" thickBot="1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</row>
    <row r="38" spans="1:10" ht="15" thickBot="1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</row>
    <row r="39" spans="1:10" ht="15" thickBot="1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</row>
    <row r="40" spans="1:10" ht="29.4" thickBot="1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</row>
    <row r="41" spans="1:10" ht="15" thickBot="1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3"/>
      <c r="J41" s="3">
        <v>332.07</v>
      </c>
    </row>
    <row r="42" spans="1:10" ht="15" thickBot="1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</row>
    <row r="43" spans="1:10" ht="15" thickBot="1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3"/>
      <c r="I43" s="3">
        <v>91.23</v>
      </c>
      <c r="J43" s="3">
        <v>381.21</v>
      </c>
    </row>
    <row r="44" spans="1:10" ht="15" thickBot="1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</row>
    <row r="45" spans="1:10" ht="29.4" thickBot="1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</row>
    <row r="46" spans="1:10" ht="15" thickBot="1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</row>
    <row r="47" spans="1:10" ht="29.4" thickBot="1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</row>
    <row r="48" spans="1:10" ht="29.4" thickBot="1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</row>
    <row r="49" spans="1:10" ht="29.4" thickBot="1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3"/>
      <c r="J49" s="3">
        <v>94.56</v>
      </c>
    </row>
    <row r="50" spans="1:10" ht="29.4" thickBot="1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</row>
    <row r="51" spans="1:10" ht="15" thickBot="1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</row>
    <row r="52" spans="1:10" ht="29.4" thickBot="1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</row>
    <row r="53" spans="1:10" ht="15" thickBot="1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</row>
    <row r="54" spans="1:10" ht="15" thickBot="1">
      <c r="A54" s="3" t="s">
        <v>78</v>
      </c>
      <c r="B54" s="3"/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</row>
    <row r="55" spans="1:10" ht="15" thickBot="1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</row>
    <row r="56" spans="1:10" ht="15" thickBot="1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</row>
    <row r="57" spans="1:10" ht="15" thickBot="1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</row>
    <row r="58" spans="1:10" ht="29.4" thickBot="1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</row>
    <row r="59" spans="1:10" ht="15" thickBot="1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</row>
    <row r="60" spans="1:10" ht="15" thickBot="1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</row>
    <row r="61" spans="1:10" ht="15" thickBot="1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</row>
    <row r="62" spans="1:10" ht="15" thickBot="1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</row>
    <row r="63" spans="1:10" ht="15" thickBot="1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</row>
    <row r="64" spans="1:10" ht="15" thickBot="1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</row>
    <row r="65" spans="1:10" ht="15" thickBot="1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</row>
    <row r="66" spans="1:10" ht="15" thickBot="1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</row>
    <row r="67" spans="1:10" ht="15" thickBot="1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</row>
    <row r="68" spans="1:10" ht="29.4" thickBot="1">
      <c r="A68" s="3" t="s">
        <v>92</v>
      </c>
      <c r="B68" s="3"/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</row>
    <row r="69" spans="1:10" ht="29.4" thickBot="1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</row>
    <row r="70" spans="1:10" ht="15" thickBot="1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</row>
    <row r="71" spans="1:10" ht="15" thickBot="1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</row>
    <row r="72" spans="1:10" ht="29.4" thickBot="1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</row>
    <row r="73" spans="1:10" ht="29.4" thickBot="1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</row>
    <row r="74" spans="1:10" ht="29.4" thickBot="1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</row>
    <row r="75" spans="1:10" ht="29.4" thickBot="1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</row>
    <row r="76" spans="1:10" ht="15" thickBot="1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</row>
    <row r="77" spans="1:10" ht="29.4" thickBot="1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</row>
    <row r="78" spans="1:10" ht="15" thickBot="1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</row>
    <row r="79" spans="1:10" ht="29.4" thickBot="1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</row>
    <row r="80" spans="1:10" ht="29.4" thickBot="1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</row>
    <row r="81" spans="1:10" ht="15" thickBot="1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</row>
    <row r="82" spans="1:10" ht="29.4" thickBot="1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</row>
    <row r="83" spans="1:10" ht="15" thickBot="1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</row>
    <row r="84" spans="1:10" ht="15" thickBot="1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3"/>
      <c r="J84" s="3">
        <v>339.51</v>
      </c>
    </row>
    <row r="85" spans="1:10" ht="29.4" thickBot="1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</row>
    <row r="86" spans="1:10" ht="29.4" thickBot="1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</row>
    <row r="87" spans="1:10" ht="15" thickBot="1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</row>
    <row r="88" spans="1:10" ht="15" thickBot="1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</row>
    <row r="89" spans="1:10" ht="15" thickBot="1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</row>
    <row r="90" spans="1:10" ht="15" thickBot="1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</row>
    <row r="91" spans="1:10" ht="29.4" thickBot="1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</row>
    <row r="92" spans="1:10" ht="29.4" thickBot="1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</row>
    <row r="93" spans="1:10" ht="29.4" thickBot="1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</row>
    <row r="94" spans="1:10" ht="29.4" thickBot="1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</row>
    <row r="95" spans="1:10" ht="15" thickBot="1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</row>
    <row r="96" spans="1:10" ht="29.4" thickBot="1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3"/>
      <c r="J96" s="3">
        <v>55.25</v>
      </c>
    </row>
    <row r="97" spans="1:10" ht="15" thickBot="1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</row>
    <row r="98" spans="1:10" ht="29.4" thickBot="1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</row>
    <row r="99" spans="1:10" ht="15" thickBot="1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</row>
    <row r="100" spans="1:10" ht="29.4" thickBot="1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</row>
    <row r="101" spans="1:10" ht="15" thickBot="1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</row>
    <row r="102" spans="1:10" ht="15" thickBot="1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</row>
    <row r="103" spans="1:10" ht="29.4" thickBot="1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</row>
    <row r="104" spans="1:10" ht="29.4" thickBot="1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</row>
    <row r="105" spans="1:10" ht="29.4" thickBot="1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</row>
    <row r="106" spans="1:10" ht="15" thickBot="1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</row>
    <row r="107" spans="1:10" ht="29.4" thickBot="1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</row>
    <row r="108" spans="1:10" ht="15" thickBot="1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</row>
    <row r="109" spans="1:10" ht="29.4" thickBot="1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</row>
    <row r="110" spans="1:10" ht="29.4" thickBot="1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</row>
    <row r="111" spans="1:10" ht="15" thickBot="1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</row>
    <row r="112" spans="1:10" ht="29.4" thickBot="1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</row>
    <row r="113" spans="1:10" ht="29.4" thickBot="1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</row>
    <row r="114" spans="1:10" ht="29.4" thickBot="1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</row>
    <row r="115" spans="1:10" ht="15" thickBot="1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</row>
    <row r="116" spans="1:10" ht="29.4" thickBot="1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</row>
    <row r="117" spans="1:10" ht="29.4" thickBot="1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</row>
    <row r="118" spans="1:10" ht="29.4" thickBot="1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</row>
    <row r="119" spans="1:10" ht="29.4" thickBot="1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</row>
    <row r="120" spans="1:10" ht="15" thickBot="1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</row>
    <row r="121" spans="1:10" ht="15" thickBot="1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</row>
    <row r="122" spans="1:10" ht="15" thickBot="1">
      <c r="A122" s="3" t="s">
        <v>146</v>
      </c>
      <c r="B122" s="3"/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</row>
    <row r="123" spans="1:10" ht="29.4" thickBot="1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</row>
    <row r="124" spans="1:10" ht="29.4" thickBot="1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</row>
    <row r="125" spans="1:10" ht="29.4" thickBot="1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</row>
    <row r="126" spans="1:10" ht="29.4" thickBot="1">
      <c r="A126" s="3" t="s">
        <v>150</v>
      </c>
      <c r="B126" s="3"/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</row>
    <row r="127" spans="1:10" ht="15" thickBot="1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</row>
    <row r="128" spans="1:10" ht="29.4" thickBot="1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</row>
    <row r="129" spans="1:10" ht="29.4" thickBot="1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</row>
    <row r="130" spans="1:10" ht="15" thickBot="1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</row>
    <row r="131" spans="1:10" ht="29.4" thickBot="1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</row>
    <row r="132" spans="1:10" ht="29.4" thickBot="1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</row>
    <row r="133" spans="1:10" ht="15" thickBot="1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</row>
    <row r="134" spans="1:10" ht="15" thickBot="1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</row>
    <row r="135" spans="1:10" ht="15" thickBot="1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3"/>
      <c r="I135" s="3">
        <v>268.45999999999998</v>
      </c>
      <c r="J135" s="3">
        <v>199.19</v>
      </c>
    </row>
    <row r="136" spans="1:10" ht="15" thickBot="1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</row>
    <row r="137" spans="1:10" ht="15" thickBot="1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</row>
    <row r="138" spans="1:10" ht="15" thickBot="1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</row>
    <row r="139" spans="1:10" ht="15" thickBot="1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</row>
    <row r="140" spans="1:10" ht="15" thickBot="1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</row>
    <row r="141" spans="1:10" ht="15" thickBot="1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</row>
    <row r="142" spans="1:10" ht="29.4" thickBot="1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</row>
    <row r="143" spans="1:10" ht="15" thickBot="1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</row>
    <row r="144" spans="1:10" ht="29.4" thickBot="1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</row>
    <row r="145" spans="1:10" ht="15" thickBot="1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</row>
    <row r="146" spans="1:10" ht="29.4" thickBot="1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</row>
    <row r="147" spans="1:10" ht="29.4" thickBot="1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</row>
    <row r="148" spans="1:10" ht="29.4" thickBot="1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</row>
    <row r="149" spans="1:10" ht="29.4" thickBot="1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</row>
    <row r="150" spans="1:10" ht="15" thickBot="1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</row>
    <row r="151" spans="1:10" ht="15" thickBot="1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</row>
    <row r="152" spans="1:10" ht="15" thickBot="1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</row>
    <row r="153" spans="1:10" ht="15" thickBot="1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</row>
    <row r="154" spans="1:10" ht="15" thickBot="1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</row>
    <row r="155" spans="1:10" ht="15" thickBot="1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</row>
    <row r="156" spans="1:10" ht="15" thickBot="1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</row>
    <row r="157" spans="1:10" ht="15" thickBot="1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</row>
    <row r="158" spans="1:10" ht="15" thickBot="1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</row>
    <row r="159" spans="1:10" ht="15" thickBot="1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</row>
    <row r="160" spans="1:10" ht="15" thickBot="1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</row>
    <row r="161" spans="1:10" ht="15" thickBot="1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3"/>
      <c r="J161" s="3">
        <v>220.75</v>
      </c>
    </row>
    <row r="162" spans="1:10" ht="29.4" thickBot="1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</row>
    <row r="163" spans="1:10" ht="15" thickBot="1">
      <c r="A163" s="3" t="s">
        <v>187</v>
      </c>
      <c r="B163" s="3" t="s">
        <v>22</v>
      </c>
      <c r="C163" s="3" t="s">
        <v>31</v>
      </c>
      <c r="D163" s="3"/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</row>
    <row r="164" spans="1:10" ht="15" thickBot="1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</row>
    <row r="165" spans="1:10" ht="15" thickBot="1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</row>
    <row r="166" spans="1:10" ht="15" thickBot="1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</row>
    <row r="167" spans="1:10" ht="29.4" thickBot="1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</row>
    <row r="168" spans="1:10" ht="29.4" thickBot="1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</row>
    <row r="169" spans="1:10" ht="29.4" thickBot="1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</row>
    <row r="170" spans="1:10" ht="15" thickBot="1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</row>
    <row r="171" spans="1:10" ht="15" thickBot="1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</row>
    <row r="172" spans="1:10" ht="29.4" thickBot="1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</row>
    <row r="173" spans="1:10" ht="15" thickBot="1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</row>
    <row r="174" spans="1:10" ht="29.4" thickBot="1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</row>
    <row r="175" spans="1:10" ht="15" thickBot="1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</row>
    <row r="176" spans="1:10" ht="15" thickBot="1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</row>
    <row r="177" spans="1:10" ht="29.4" thickBot="1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</row>
    <row r="178" spans="1:10" ht="15" thickBot="1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</row>
    <row r="179" spans="1:10" ht="29.4" thickBot="1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</row>
    <row r="180" spans="1:10" ht="15" thickBot="1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</row>
    <row r="181" spans="1:10" ht="29.4" thickBot="1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</row>
    <row r="182" spans="1:10" ht="15" thickBot="1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</row>
    <row r="183" spans="1:10" ht="15" thickBot="1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</row>
    <row r="184" spans="1:10" ht="15" thickBot="1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</row>
    <row r="185" spans="1:10" ht="15" thickBot="1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</row>
    <row r="186" spans="1:10" ht="29.4" thickBot="1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</row>
    <row r="187" spans="1:10" ht="15" thickBot="1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</row>
    <row r="188" spans="1:10" ht="15" thickBot="1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</row>
    <row r="189" spans="1:10" ht="15" thickBot="1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</row>
    <row r="190" spans="1:10" ht="29.4" thickBot="1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</row>
    <row r="191" spans="1:10" ht="15" thickBot="1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</row>
    <row r="192" spans="1:10" ht="15" thickBot="1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</row>
    <row r="193" spans="1:10" ht="15" thickBot="1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</row>
    <row r="194" spans="1:10" ht="29.4" thickBot="1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</row>
    <row r="195" spans="1:10" ht="15" thickBot="1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</row>
    <row r="196" spans="1:10" ht="29.4" thickBot="1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</row>
    <row r="197" spans="1:10" ht="15" thickBot="1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</row>
    <row r="198" spans="1:10" ht="15" thickBot="1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</row>
    <row r="199" spans="1:10" ht="15" thickBot="1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</row>
    <row r="200" spans="1:10" ht="29.4" thickBot="1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</row>
    <row r="201" spans="1:10" ht="29.4" thickBot="1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</row>
    <row r="202" spans="1:10" ht="15" thickBot="1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</row>
    <row r="203" spans="1:10" ht="15" thickBot="1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</row>
    <row r="204" spans="1:10" ht="15" thickBot="1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3"/>
      <c r="I204" s="3">
        <v>407.81</v>
      </c>
      <c r="J204" s="3">
        <v>351.95</v>
      </c>
    </row>
    <row r="205" spans="1:10" ht="29.4" thickBot="1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</row>
    <row r="206" spans="1:10" ht="29.4" thickBot="1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</row>
    <row r="207" spans="1:10" ht="29.4" thickBot="1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</row>
    <row r="208" spans="1:10" ht="29.4" thickBot="1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</row>
    <row r="209" spans="1:10" ht="29.4" thickBot="1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</row>
    <row r="210" spans="1:10" ht="15" thickBot="1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</row>
    <row r="211" spans="1:10" ht="15" thickBot="1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</row>
    <row r="212" spans="1:10" ht="15" thickBot="1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</row>
    <row r="213" spans="1:10" ht="29.4" thickBot="1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</row>
    <row r="214" spans="1:10" ht="15" thickBot="1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</row>
    <row r="215" spans="1:10" ht="15" thickBot="1">
      <c r="A215" s="3" t="s">
        <v>239</v>
      </c>
      <c r="B215" s="3" t="s">
        <v>11</v>
      </c>
      <c r="C215" s="3" t="s">
        <v>50</v>
      </c>
      <c r="D215" s="3"/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</row>
    <row r="216" spans="1:10" ht="15" thickBot="1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</row>
    <row r="217" spans="1:10" ht="29.4" thickBot="1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</row>
    <row r="218" spans="1:10" ht="15" thickBot="1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</row>
    <row r="219" spans="1:10" ht="29.4" thickBot="1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</row>
    <row r="220" spans="1:10" ht="29.4" thickBot="1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</row>
    <row r="221" spans="1:10" ht="15" thickBot="1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</row>
    <row r="222" spans="1:10" ht="29.4" thickBot="1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</row>
    <row r="223" spans="1:10" ht="29.4" thickBot="1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</row>
    <row r="224" spans="1:10" ht="15" thickBot="1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</row>
    <row r="225" spans="1:10" ht="15" thickBot="1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</row>
    <row r="226" spans="1:10" ht="29.4" thickBot="1">
      <c r="A226" s="3" t="s">
        <v>250</v>
      </c>
      <c r="B226" s="3"/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</row>
    <row r="227" spans="1:10" ht="29.4" thickBot="1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</row>
    <row r="228" spans="1:10" ht="15" thickBot="1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</row>
    <row r="229" spans="1:10" ht="29.4" thickBot="1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</row>
    <row r="230" spans="1:10" ht="15" thickBot="1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</row>
    <row r="231" spans="1:10" ht="15" thickBot="1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</row>
    <row r="232" spans="1:10" ht="15" thickBot="1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3"/>
      <c r="I232" s="3">
        <v>49.37</v>
      </c>
      <c r="J232" s="3">
        <v>39.32</v>
      </c>
    </row>
    <row r="233" spans="1:10" ht="15" thickBot="1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</row>
    <row r="234" spans="1:10" ht="29.4" thickBot="1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</row>
    <row r="235" spans="1:10" ht="15" thickBot="1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</row>
    <row r="236" spans="1:10" ht="15" thickBot="1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</row>
    <row r="237" spans="1:10" ht="15" thickBot="1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</row>
    <row r="238" spans="1:10" ht="15" thickBot="1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</row>
    <row r="239" spans="1:10" ht="15" thickBot="1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</row>
    <row r="240" spans="1:10" ht="15" thickBot="1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</row>
    <row r="241" spans="1:10" ht="29.4" thickBot="1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</row>
    <row r="242" spans="1:10" ht="15" thickBot="1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</row>
    <row r="243" spans="1:10" ht="15" thickBot="1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</row>
    <row r="244" spans="1:10" ht="15" thickBot="1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</row>
    <row r="245" spans="1:10" ht="15" thickBot="1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</row>
    <row r="246" spans="1:10" ht="29.4" thickBot="1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</row>
    <row r="247" spans="1:10" ht="29.4" thickBot="1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</row>
    <row r="248" spans="1:10" ht="15" thickBot="1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</row>
    <row r="249" spans="1:10" ht="15" thickBot="1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</row>
    <row r="250" spans="1:10" ht="29.4" thickBot="1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</row>
    <row r="251" spans="1:10" ht="29.4" thickBot="1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</row>
    <row r="252" spans="1:10" ht="15" thickBot="1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</row>
    <row r="253" spans="1:10" ht="15" thickBot="1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</row>
    <row r="254" spans="1:10" ht="29.4" thickBot="1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</row>
    <row r="255" spans="1:10" ht="29.4" thickBot="1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3"/>
      <c r="I255" s="3">
        <v>298.8</v>
      </c>
      <c r="J255" s="3">
        <v>333.41</v>
      </c>
    </row>
    <row r="256" spans="1:10" ht="29.4" thickBot="1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</row>
    <row r="257" spans="1:10" ht="15" thickBot="1">
      <c r="A257" s="3" t="s">
        <v>281</v>
      </c>
      <c r="B257" s="3" t="s">
        <v>17</v>
      </c>
      <c r="C257" s="3" t="s">
        <v>12</v>
      </c>
      <c r="D257" s="3"/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</row>
    <row r="258" spans="1:10" ht="29.4" thickBot="1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</row>
    <row r="259" spans="1:10" ht="15" thickBot="1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</row>
    <row r="260" spans="1:10" ht="15" thickBot="1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</row>
    <row r="261" spans="1:10" ht="15" thickBot="1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3"/>
      <c r="J261" s="3">
        <v>337.1</v>
      </c>
    </row>
    <row r="262" spans="1:10" ht="29.4" thickBot="1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</row>
    <row r="263" spans="1:10" ht="29.4" thickBot="1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</row>
    <row r="264" spans="1:10" ht="15" thickBot="1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</row>
    <row r="265" spans="1:10" ht="15" thickBot="1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3"/>
      <c r="J265" s="3">
        <v>155.38</v>
      </c>
    </row>
    <row r="266" spans="1:10" ht="15" thickBot="1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</row>
    <row r="267" spans="1:10" ht="29.4" thickBot="1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</row>
    <row r="268" spans="1:10" ht="15" thickBot="1">
      <c r="A268" s="3" t="s">
        <v>292</v>
      </c>
      <c r="B268" s="3" t="s">
        <v>22</v>
      </c>
      <c r="C268" s="3" t="s">
        <v>18</v>
      </c>
      <c r="D268" s="3"/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</row>
    <row r="269" spans="1:10" ht="15" thickBot="1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</row>
    <row r="270" spans="1:10" ht="15" thickBot="1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</row>
    <row r="271" spans="1:10" ht="29.4" thickBot="1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</row>
    <row r="272" spans="1:10" ht="29.4" thickBot="1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</row>
    <row r="273" spans="1:10" ht="15" thickBot="1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</row>
    <row r="274" spans="1:10" ht="15" thickBot="1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</row>
    <row r="275" spans="1:10" ht="15" thickBot="1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</row>
    <row r="276" spans="1:10" ht="15" thickBot="1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</row>
    <row r="277" spans="1:10" ht="15" thickBot="1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</row>
    <row r="278" spans="1:10" ht="29.4" thickBot="1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</row>
    <row r="279" spans="1:10" ht="29.4" thickBot="1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</row>
    <row r="280" spans="1:10" ht="29.4" thickBot="1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</row>
    <row r="281" spans="1:10" ht="29.4" thickBot="1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</row>
    <row r="282" spans="1:10" ht="29.4" thickBot="1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</row>
    <row r="283" spans="1:10" ht="29.4" thickBot="1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</row>
    <row r="284" spans="1:10" ht="15" thickBot="1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</row>
    <row r="285" spans="1:10" ht="15" thickBot="1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</row>
    <row r="286" spans="1:10" ht="29.4" thickBot="1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</row>
    <row r="287" spans="1:10" ht="15" thickBot="1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</row>
    <row r="288" spans="1:10" ht="15" thickBot="1">
      <c r="A288" s="3" t="s">
        <v>312</v>
      </c>
      <c r="B288" s="3" t="s">
        <v>11</v>
      </c>
      <c r="C288" s="3" t="s">
        <v>12</v>
      </c>
      <c r="D288" s="3"/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</row>
    <row r="289" spans="1:10" ht="29.4" thickBot="1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</row>
    <row r="290" spans="1:10" ht="15" thickBot="1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</row>
    <row r="291" spans="1:10" ht="15" thickBot="1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</row>
    <row r="292" spans="1:10" ht="15" thickBot="1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3"/>
      <c r="J292" s="3">
        <v>278.77999999999997</v>
      </c>
    </row>
    <row r="293" spans="1:10" ht="15" thickBot="1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3"/>
      <c r="I293" s="3">
        <v>173.84</v>
      </c>
      <c r="J293" s="3">
        <v>298.88</v>
      </c>
    </row>
    <row r="294" spans="1:10" ht="15" thickBot="1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</row>
    <row r="295" spans="1:10" ht="15" thickBot="1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</row>
    <row r="296" spans="1:10" ht="29.4" thickBot="1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</row>
    <row r="297" spans="1:10" ht="15" thickBot="1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</row>
    <row r="298" spans="1:10" ht="29.4" thickBot="1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3"/>
      <c r="I298" s="3">
        <v>387.45</v>
      </c>
      <c r="J298" s="3">
        <v>150.63999999999999</v>
      </c>
    </row>
    <row r="299" spans="1:10" ht="15" thickBot="1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</row>
    <row r="300" spans="1:10" ht="15" thickBot="1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</row>
    <row r="301" spans="1:10" ht="15" thickBot="1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</row>
    <row r="302" spans="1:10" ht="15" thickBot="1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</row>
    <row r="303" spans="1:10" ht="29.4" thickBot="1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</row>
    <row r="304" spans="1:10" ht="15" thickBot="1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</row>
    <row r="305" spans="1:10" ht="29.4" thickBot="1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</row>
    <row r="306" spans="1:10" ht="15" thickBot="1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</row>
    <row r="307" spans="1:10" ht="15" thickBot="1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</row>
    <row r="308" spans="1:10" ht="15" thickBot="1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</row>
    <row r="309" spans="1:10" ht="15" thickBot="1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</row>
    <row r="310" spans="1:10" ht="15" thickBot="1">
      <c r="A310" s="3" t="s">
        <v>334</v>
      </c>
      <c r="B310" s="3" t="s">
        <v>22</v>
      </c>
      <c r="C310" s="3" t="s">
        <v>12</v>
      </c>
      <c r="D310" s="3"/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</row>
    <row r="311" spans="1:10" ht="15" thickBot="1">
      <c r="A311" s="3" t="s">
        <v>335</v>
      </c>
      <c r="B311" s="3" t="s">
        <v>17</v>
      </c>
      <c r="C311" s="3" t="s">
        <v>31</v>
      </c>
      <c r="D311" s="3"/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</row>
    <row r="312" spans="1:10" ht="15" thickBot="1">
      <c r="A312" s="3" t="s">
        <v>336</v>
      </c>
      <c r="B312" s="3" t="s">
        <v>48</v>
      </c>
      <c r="C312" s="3" t="s">
        <v>50</v>
      </c>
      <c r="D312" s="3"/>
      <c r="E312" s="3" t="s">
        <v>14</v>
      </c>
      <c r="F312" s="3" t="s">
        <v>28</v>
      </c>
      <c r="G312" s="4">
        <v>45234</v>
      </c>
      <c r="H312" s="3">
        <v>157</v>
      </c>
      <c r="I312" s="3"/>
      <c r="J312" s="3">
        <v>274.99</v>
      </c>
    </row>
    <row r="313" spans="1:10" ht="15" thickBot="1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</row>
    <row r="314" spans="1:10" ht="29.4" thickBot="1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</row>
    <row r="315" spans="1:10" ht="15" thickBot="1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</row>
    <row r="316" spans="1:10" ht="29.4" thickBot="1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</row>
    <row r="317" spans="1:10" ht="15" thickBot="1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</row>
    <row r="318" spans="1:10" ht="15" thickBot="1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3"/>
      <c r="I318" s="3">
        <v>192.35</v>
      </c>
      <c r="J318" s="3">
        <v>227.09</v>
      </c>
    </row>
    <row r="319" spans="1:10" ht="29.4" thickBot="1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</row>
    <row r="320" spans="1:10" ht="15" thickBot="1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</row>
    <row r="321" spans="1:10" ht="15" thickBot="1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3"/>
      <c r="I321" s="3">
        <v>225.94</v>
      </c>
      <c r="J321" s="3">
        <v>280.7</v>
      </c>
    </row>
    <row r="322" spans="1:10" ht="29.4" thickBot="1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</row>
    <row r="323" spans="1:10" ht="15" thickBot="1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</row>
    <row r="324" spans="1:10" ht="15" thickBot="1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</row>
    <row r="325" spans="1:10" ht="29.4" thickBot="1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</row>
    <row r="326" spans="1:10" ht="15" thickBot="1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</row>
    <row r="327" spans="1:10" ht="15" thickBot="1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</row>
    <row r="328" spans="1:10" ht="15" thickBot="1">
      <c r="A328" s="3" t="s">
        <v>352</v>
      </c>
      <c r="B328" s="3" t="s">
        <v>48</v>
      </c>
      <c r="C328" s="3" t="s">
        <v>18</v>
      </c>
      <c r="D328" s="3"/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</row>
    <row r="329" spans="1:10" ht="29.4" thickBot="1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</row>
    <row r="330" spans="1:10" ht="15" thickBot="1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</row>
    <row r="331" spans="1:10" ht="15" thickBot="1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</row>
    <row r="332" spans="1:10" ht="29.4" thickBot="1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3"/>
      <c r="I332" s="3">
        <v>5.61</v>
      </c>
      <c r="J332" s="3">
        <v>193.4</v>
      </c>
    </row>
    <row r="333" spans="1:10" ht="29.4" thickBot="1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</row>
    <row r="334" spans="1:10" ht="29.4" thickBot="1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</row>
    <row r="335" spans="1:10" ht="29.4" thickBot="1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</row>
    <row r="336" spans="1:10" ht="29.4" thickBot="1">
      <c r="A336" s="3" t="s">
        <v>360</v>
      </c>
      <c r="B336" s="3"/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</row>
    <row r="337" spans="1:10" ht="15" thickBot="1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</row>
    <row r="338" spans="1:10" ht="15" thickBot="1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</row>
    <row r="339" spans="1:10" ht="29.4" thickBot="1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</row>
    <row r="340" spans="1:10" ht="29.4" thickBot="1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</row>
    <row r="341" spans="1:10" ht="15" thickBot="1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</row>
    <row r="342" spans="1:10" ht="15" thickBot="1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</row>
    <row r="343" spans="1:10" ht="15" thickBot="1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</row>
    <row r="344" spans="1:10" ht="29.4" thickBot="1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</row>
    <row r="345" spans="1:10" ht="15" thickBot="1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</row>
    <row r="346" spans="1:10" ht="29.4" thickBot="1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</row>
    <row r="347" spans="1:10" ht="15" thickBot="1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</row>
    <row r="348" spans="1:10" ht="15" thickBot="1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</row>
    <row r="349" spans="1:10" ht="15" thickBot="1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</row>
    <row r="350" spans="1:10" ht="15" thickBot="1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</row>
    <row r="351" spans="1:10" ht="29.4" thickBot="1">
      <c r="A351" s="3" t="s">
        <v>375</v>
      </c>
      <c r="B351" s="3"/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</row>
    <row r="352" spans="1:10" ht="15" thickBot="1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</row>
    <row r="353" spans="1:10" ht="29.4" thickBot="1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</row>
    <row r="354" spans="1:10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 s="5">
        <v>425</v>
      </c>
      <c r="I354" s="5">
        <v>174.13</v>
      </c>
      <c r="J354" s="5">
        <v>315.27999999999997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0239-441E-4F05-AAC6-1C8E87755319}">
  <dimension ref="A3:G11"/>
  <sheetViews>
    <sheetView workbookViewId="0">
      <selection activeCell="E20" sqref="E20"/>
    </sheetView>
  </sheetViews>
  <sheetFormatPr defaultRowHeight="14.4"/>
  <cols>
    <col min="1" max="1" width="12.5546875" bestFit="1" customWidth="1"/>
    <col min="2" max="2" width="15.5546875" bestFit="1" customWidth="1"/>
    <col min="3" max="5" width="11" bestFit="1" customWidth="1"/>
    <col min="6" max="6" width="10" bestFit="1" customWidth="1"/>
    <col min="7" max="7" width="12" bestFit="1" customWidth="1"/>
  </cols>
  <sheetData>
    <row r="3" spans="1:7">
      <c r="A3" s="34" t="s">
        <v>416</v>
      </c>
      <c r="B3" s="34" t="s">
        <v>417</v>
      </c>
    </row>
    <row r="4" spans="1:7">
      <c r="A4" s="34" t="s">
        <v>412</v>
      </c>
      <c r="B4" s="10" t="s">
        <v>11</v>
      </c>
      <c r="C4" t="s">
        <v>22</v>
      </c>
      <c r="D4" t="s">
        <v>48</v>
      </c>
      <c r="E4" t="s">
        <v>17</v>
      </c>
      <c r="F4" t="s">
        <v>413</v>
      </c>
      <c r="G4" t="s">
        <v>414</v>
      </c>
    </row>
    <row r="5" spans="1:7">
      <c r="A5" s="35" t="s">
        <v>13</v>
      </c>
      <c r="B5" s="36">
        <v>888153.51</v>
      </c>
      <c r="C5" s="36">
        <v>949191.2699999999</v>
      </c>
      <c r="D5" s="36">
        <v>1145872.8400000001</v>
      </c>
      <c r="E5" s="36">
        <v>1799862.3100000003</v>
      </c>
      <c r="F5" s="36">
        <v>70451.959999999992</v>
      </c>
      <c r="G5" s="36">
        <v>4853531.8900000006</v>
      </c>
    </row>
    <row r="6" spans="1:7">
      <c r="A6" s="35" t="s">
        <v>23</v>
      </c>
      <c r="B6" s="36">
        <v>1459067.5799999998</v>
      </c>
      <c r="C6" s="36">
        <v>606328.46</v>
      </c>
      <c r="D6" s="36">
        <v>496502.89000000007</v>
      </c>
      <c r="E6" s="36">
        <v>943278.77999999991</v>
      </c>
      <c r="F6" s="36">
        <v>148520.12</v>
      </c>
      <c r="G6" s="36">
        <v>3653697.8299999996</v>
      </c>
    </row>
    <row r="7" spans="1:7">
      <c r="A7" s="35" t="s">
        <v>42</v>
      </c>
      <c r="B7" s="36">
        <v>944943.52000000014</v>
      </c>
      <c r="C7" s="36">
        <v>950484.27000000025</v>
      </c>
      <c r="D7" s="36">
        <v>892679.01</v>
      </c>
      <c r="E7" s="36">
        <v>1261178.8800000001</v>
      </c>
      <c r="F7" s="36">
        <v>174221.09</v>
      </c>
      <c r="G7" s="36">
        <v>4223506.7700000005</v>
      </c>
    </row>
    <row r="8" spans="1:7">
      <c r="A8" s="35" t="s">
        <v>19</v>
      </c>
      <c r="B8" s="36">
        <v>833638.80999999994</v>
      </c>
      <c r="C8" s="36">
        <v>1498374.62</v>
      </c>
      <c r="D8" s="36">
        <v>567878.65999999992</v>
      </c>
      <c r="E8" s="36">
        <v>789906.74999999988</v>
      </c>
      <c r="F8" s="36">
        <v>3049.8</v>
      </c>
      <c r="G8" s="36">
        <v>3692848.6399999997</v>
      </c>
    </row>
    <row r="9" spans="1:7">
      <c r="A9" s="35" t="s">
        <v>27</v>
      </c>
      <c r="B9" s="36">
        <v>1659890.4800000002</v>
      </c>
      <c r="C9" s="36">
        <v>731274.15</v>
      </c>
      <c r="D9" s="36">
        <v>832820.25000000012</v>
      </c>
      <c r="E9" s="36">
        <v>926634.58</v>
      </c>
      <c r="F9" s="36">
        <v>135939</v>
      </c>
      <c r="G9" s="36">
        <v>4286558.4600000009</v>
      </c>
    </row>
    <row r="10" spans="1:7">
      <c r="A10" s="35" t="s">
        <v>413</v>
      </c>
      <c r="B10" s="36">
        <v>222603.18</v>
      </c>
      <c r="C10" s="36">
        <v>326947.95999999996</v>
      </c>
      <c r="D10" s="36">
        <v>14570.57</v>
      </c>
      <c r="E10" s="36">
        <v>107359.66</v>
      </c>
      <c r="F10" s="36"/>
      <c r="G10" s="36">
        <v>671481.36999999988</v>
      </c>
    </row>
    <row r="11" spans="1:7">
      <c r="A11" s="35" t="s">
        <v>414</v>
      </c>
      <c r="B11" s="36">
        <v>6008297.0800000001</v>
      </c>
      <c r="C11" s="36">
        <v>5062600.7300000004</v>
      </c>
      <c r="D11" s="36">
        <v>3950324.22</v>
      </c>
      <c r="E11" s="36">
        <v>5828220.9600000009</v>
      </c>
      <c r="F11" s="36">
        <v>532181.97</v>
      </c>
      <c r="G11" s="36">
        <v>21381624.960000005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4891-A16A-4A6F-837C-EF49A89F3398}">
  <dimension ref="A1:E352"/>
  <sheetViews>
    <sheetView workbookViewId="0">
      <selection activeCell="A3" sqref="A3"/>
    </sheetView>
  </sheetViews>
  <sheetFormatPr defaultRowHeight="14.4"/>
  <cols>
    <col min="1" max="1" width="11.21875" bestFit="1" customWidth="1"/>
    <col min="2" max="2" width="13" bestFit="1" customWidth="1"/>
    <col min="3" max="3" width="9.77734375" bestFit="1" customWidth="1"/>
    <col min="4" max="4" width="9.5546875" bestFit="1" customWidth="1"/>
    <col min="5" max="5" width="10" bestFit="1" customWidth="1"/>
  </cols>
  <sheetData>
    <row r="1" spans="1:5" ht="15" thickBot="1"/>
    <row r="2" spans="1:5" ht="15" thickBot="1">
      <c r="A2" s="23" t="s">
        <v>1</v>
      </c>
      <c r="B2" s="20" t="s">
        <v>3</v>
      </c>
      <c r="C2" s="20" t="s">
        <v>389</v>
      </c>
      <c r="D2" s="20" t="s">
        <v>8</v>
      </c>
      <c r="E2" s="33" t="s">
        <v>415</v>
      </c>
    </row>
    <row r="3" spans="1:5" ht="15" thickBot="1">
      <c r="A3" s="24" t="s">
        <v>11</v>
      </c>
      <c r="B3" s="21" t="s">
        <v>13</v>
      </c>
      <c r="C3" s="21">
        <v>235</v>
      </c>
      <c r="D3" s="21">
        <v>152.91999999999999</v>
      </c>
      <c r="E3">
        <f>C3*D3</f>
        <v>35936.199999999997</v>
      </c>
    </row>
    <row r="4" spans="1:5" ht="15" thickBot="1">
      <c r="A4" s="25" t="s">
        <v>17</v>
      </c>
      <c r="B4" s="12" t="s">
        <v>19</v>
      </c>
      <c r="C4" s="12">
        <v>341</v>
      </c>
      <c r="D4" s="12">
        <v>467.92</v>
      </c>
      <c r="E4">
        <f>C4*D4</f>
        <v>159560.72</v>
      </c>
    </row>
    <row r="5" spans="1:5" ht="15" thickBot="1">
      <c r="A5" s="24" t="s">
        <v>22</v>
      </c>
      <c r="B5" s="21" t="s">
        <v>23</v>
      </c>
      <c r="C5" s="21">
        <v>179</v>
      </c>
      <c r="D5" s="21">
        <v>473.94</v>
      </c>
      <c r="E5">
        <f>C5*D5</f>
        <v>84835.26</v>
      </c>
    </row>
    <row r="6" spans="1:5" ht="15" thickBot="1">
      <c r="A6" s="25" t="s">
        <v>11</v>
      </c>
      <c r="B6" s="12" t="s">
        <v>27</v>
      </c>
      <c r="C6" s="12">
        <v>18</v>
      </c>
      <c r="D6" s="12">
        <v>314.52999999999997</v>
      </c>
      <c r="E6">
        <f>C6*D6</f>
        <v>5661.5399999999991</v>
      </c>
    </row>
    <row r="7" spans="1:5" ht="15" thickBot="1">
      <c r="A7" s="24" t="s">
        <v>11</v>
      </c>
      <c r="B7" s="21" t="s">
        <v>27</v>
      </c>
      <c r="C7" s="21">
        <v>472</v>
      </c>
      <c r="D7" s="21">
        <v>392.79</v>
      </c>
      <c r="E7">
        <f>C7*D7</f>
        <v>185396.88</v>
      </c>
    </row>
    <row r="8" spans="1:5" ht="15" thickBot="1">
      <c r="A8" s="25" t="s">
        <v>17</v>
      </c>
      <c r="B8" s="12" t="s">
        <v>23</v>
      </c>
      <c r="C8" s="12">
        <v>49</v>
      </c>
      <c r="D8" s="12">
        <v>308.07</v>
      </c>
      <c r="E8">
        <f>C8*D8</f>
        <v>15095.43</v>
      </c>
    </row>
    <row r="9" spans="1:5" ht="15" thickBot="1">
      <c r="A9" s="24" t="s">
        <v>22</v>
      </c>
      <c r="B9" s="21" t="s">
        <v>23</v>
      </c>
      <c r="C9" s="21">
        <v>34</v>
      </c>
      <c r="D9" s="21">
        <v>244.78</v>
      </c>
      <c r="E9">
        <f>C9*D9</f>
        <v>8322.52</v>
      </c>
    </row>
    <row r="10" spans="1:5" ht="15" thickBot="1">
      <c r="A10" s="25" t="s">
        <v>22</v>
      </c>
      <c r="B10" s="12" t="s">
        <v>13</v>
      </c>
      <c r="C10" s="12">
        <v>270</v>
      </c>
      <c r="D10" s="12">
        <v>332.11</v>
      </c>
      <c r="E10">
        <f>C10*D10</f>
        <v>89669.7</v>
      </c>
    </row>
    <row r="11" spans="1:5" ht="15" thickBot="1">
      <c r="A11" s="24" t="s">
        <v>11</v>
      </c>
      <c r="B11" s="21" t="s">
        <v>13</v>
      </c>
      <c r="C11" s="21">
        <v>404</v>
      </c>
      <c r="D11" s="21">
        <v>278.74</v>
      </c>
      <c r="E11">
        <f>C11*D11</f>
        <v>112610.96</v>
      </c>
    </row>
    <row r="12" spans="1:5" ht="15" thickBot="1">
      <c r="A12" s="25"/>
      <c r="B12" s="12" t="s">
        <v>27</v>
      </c>
      <c r="C12" s="12">
        <v>452</v>
      </c>
      <c r="D12" s="12">
        <v>300.75</v>
      </c>
      <c r="E12">
        <f>C12*D12</f>
        <v>135939</v>
      </c>
    </row>
    <row r="13" spans="1:5" ht="15" thickBot="1">
      <c r="A13" s="24" t="s">
        <v>11</v>
      </c>
      <c r="B13" s="21" t="s">
        <v>19</v>
      </c>
      <c r="C13" s="21">
        <v>235</v>
      </c>
      <c r="D13" s="21">
        <v>393</v>
      </c>
      <c r="E13">
        <f>C13*D13</f>
        <v>92355</v>
      </c>
    </row>
    <row r="14" spans="1:5" ht="15" thickBot="1">
      <c r="A14" s="25" t="s">
        <v>11</v>
      </c>
      <c r="B14" s="12" t="s">
        <v>27</v>
      </c>
      <c r="C14" s="12">
        <v>481</v>
      </c>
      <c r="D14" s="12">
        <v>243.05</v>
      </c>
      <c r="E14">
        <f>C14*D14</f>
        <v>116907.05</v>
      </c>
    </row>
    <row r="15" spans="1:5" ht="15" thickBot="1">
      <c r="A15" s="24" t="s">
        <v>11</v>
      </c>
      <c r="B15" s="21" t="s">
        <v>19</v>
      </c>
      <c r="C15" s="21">
        <v>133</v>
      </c>
      <c r="D15" s="21">
        <v>25.17</v>
      </c>
      <c r="E15">
        <f>C15*D15</f>
        <v>3347.61</v>
      </c>
    </row>
    <row r="16" spans="1:5" ht="15" thickBot="1">
      <c r="A16" s="25" t="s">
        <v>11</v>
      </c>
      <c r="B16" s="12" t="s">
        <v>19</v>
      </c>
      <c r="C16" s="12">
        <v>472</v>
      </c>
      <c r="D16" s="12">
        <v>86.18</v>
      </c>
      <c r="E16">
        <f>C16*D16</f>
        <v>40676.960000000006</v>
      </c>
    </row>
    <row r="17" spans="1:5" ht="15" thickBot="1">
      <c r="A17" s="24" t="s">
        <v>17</v>
      </c>
      <c r="B17" s="21" t="s">
        <v>13</v>
      </c>
      <c r="C17" s="21">
        <v>47</v>
      </c>
      <c r="D17" s="21">
        <v>222.11</v>
      </c>
      <c r="E17">
        <f>C17*D17</f>
        <v>10439.17</v>
      </c>
    </row>
    <row r="18" spans="1:5" ht="15" thickBot="1">
      <c r="A18" s="25" t="s">
        <v>22</v>
      </c>
      <c r="B18" s="12" t="s">
        <v>42</v>
      </c>
      <c r="C18" s="12">
        <v>337</v>
      </c>
      <c r="D18" s="12">
        <v>363.79</v>
      </c>
      <c r="E18">
        <f>C18*D18</f>
        <v>122597.23000000001</v>
      </c>
    </row>
    <row r="19" spans="1:5" ht="15" thickBot="1">
      <c r="A19" s="24" t="s">
        <v>17</v>
      </c>
      <c r="B19" s="21" t="s">
        <v>42</v>
      </c>
      <c r="C19" s="21">
        <v>260</v>
      </c>
      <c r="D19" s="21">
        <v>298.67</v>
      </c>
      <c r="E19">
        <f>C19*D19</f>
        <v>77654.2</v>
      </c>
    </row>
    <row r="20" spans="1:5" ht="15" thickBot="1">
      <c r="A20" s="25"/>
      <c r="B20" s="12" t="s">
        <v>23</v>
      </c>
      <c r="C20" s="12">
        <v>398</v>
      </c>
      <c r="D20" s="12">
        <v>326.89999999999998</v>
      </c>
      <c r="E20">
        <f>C20*D20</f>
        <v>130106.2</v>
      </c>
    </row>
    <row r="21" spans="1:5" ht="15" thickBot="1">
      <c r="A21" s="24" t="s">
        <v>17</v>
      </c>
      <c r="B21" s="21" t="s">
        <v>13</v>
      </c>
      <c r="C21" s="21">
        <v>185</v>
      </c>
      <c r="D21" s="21">
        <v>242.24</v>
      </c>
      <c r="E21">
        <f>C21*D21</f>
        <v>44814.400000000001</v>
      </c>
    </row>
    <row r="22" spans="1:5" ht="15" thickBot="1">
      <c r="A22" s="25" t="s">
        <v>11</v>
      </c>
      <c r="B22" s="12" t="s">
        <v>19</v>
      </c>
      <c r="C22" s="12">
        <v>99</v>
      </c>
      <c r="D22" s="12">
        <v>309.79000000000002</v>
      </c>
      <c r="E22">
        <f>C22*D22</f>
        <v>30669.210000000003</v>
      </c>
    </row>
    <row r="23" spans="1:5" ht="15" thickBot="1">
      <c r="A23" s="24" t="s">
        <v>48</v>
      </c>
      <c r="B23" s="21" t="s">
        <v>42</v>
      </c>
      <c r="C23" s="21">
        <v>411</v>
      </c>
      <c r="D23" s="21">
        <v>167.86</v>
      </c>
      <c r="E23">
        <f>C23*D23</f>
        <v>68990.460000000006</v>
      </c>
    </row>
    <row r="24" spans="1:5" ht="15" thickBot="1">
      <c r="A24" s="25" t="s">
        <v>22</v>
      </c>
      <c r="B24" s="12" t="s">
        <v>19</v>
      </c>
      <c r="C24" s="12">
        <v>463</v>
      </c>
      <c r="D24" s="12">
        <v>237.74</v>
      </c>
      <c r="E24">
        <f>C24*D24</f>
        <v>110073.62000000001</v>
      </c>
    </row>
    <row r="25" spans="1:5" ht="15" thickBot="1">
      <c r="A25" s="24" t="s">
        <v>48</v>
      </c>
      <c r="B25" s="21" t="s">
        <v>42</v>
      </c>
      <c r="C25" s="21">
        <v>46</v>
      </c>
      <c r="D25" s="21">
        <v>373.42</v>
      </c>
      <c r="E25">
        <f>C25*D25</f>
        <v>17177.32</v>
      </c>
    </row>
    <row r="26" spans="1:5" ht="15" thickBot="1">
      <c r="A26" s="25" t="s">
        <v>17</v>
      </c>
      <c r="B26" s="12" t="s">
        <v>42</v>
      </c>
      <c r="C26" s="12">
        <v>325</v>
      </c>
      <c r="D26" s="12">
        <v>436.56</v>
      </c>
      <c r="E26">
        <f>C26*D26</f>
        <v>141882</v>
      </c>
    </row>
    <row r="27" spans="1:5" ht="15" thickBot="1">
      <c r="A27" s="24" t="s">
        <v>17</v>
      </c>
      <c r="B27" s="21"/>
      <c r="C27" s="21">
        <v>185</v>
      </c>
      <c r="D27" s="21">
        <v>219.66</v>
      </c>
      <c r="E27">
        <f>C27*D27</f>
        <v>40637.1</v>
      </c>
    </row>
    <row r="28" spans="1:5" ht="15" thickBot="1">
      <c r="A28" s="25" t="s">
        <v>48</v>
      </c>
      <c r="B28" s="12" t="s">
        <v>13</v>
      </c>
      <c r="C28" s="12">
        <v>470</v>
      </c>
      <c r="D28" s="12">
        <v>26.61</v>
      </c>
      <c r="E28">
        <f>C28*D28</f>
        <v>12506.699999999999</v>
      </c>
    </row>
    <row r="29" spans="1:5" ht="15" thickBot="1">
      <c r="A29" s="24" t="s">
        <v>48</v>
      </c>
      <c r="B29" s="21" t="s">
        <v>27</v>
      </c>
      <c r="C29" s="21">
        <v>293</v>
      </c>
      <c r="D29" s="21">
        <v>85.03</v>
      </c>
      <c r="E29">
        <f>C29*D29</f>
        <v>24913.79</v>
      </c>
    </row>
    <row r="30" spans="1:5" ht="15" thickBot="1">
      <c r="A30" s="25" t="s">
        <v>48</v>
      </c>
      <c r="B30" s="12" t="s">
        <v>19</v>
      </c>
      <c r="C30" s="12">
        <v>462</v>
      </c>
      <c r="D30" s="12"/>
      <c r="E30">
        <f>C30*D30</f>
        <v>0</v>
      </c>
    </row>
    <row r="31" spans="1:5" ht="15" thickBot="1">
      <c r="A31" s="24" t="s">
        <v>17</v>
      </c>
      <c r="B31" s="21" t="s">
        <v>13</v>
      </c>
      <c r="C31" s="21">
        <v>470</v>
      </c>
      <c r="D31" s="21">
        <v>328.37</v>
      </c>
      <c r="E31">
        <f>C31*D31</f>
        <v>154333.9</v>
      </c>
    </row>
    <row r="32" spans="1:5" ht="15" thickBot="1">
      <c r="A32" s="25" t="s">
        <v>17</v>
      </c>
      <c r="B32" s="12" t="s">
        <v>13</v>
      </c>
      <c r="C32" s="12">
        <v>90</v>
      </c>
      <c r="D32" s="12">
        <v>169.5</v>
      </c>
      <c r="E32">
        <f>C32*D32</f>
        <v>15255</v>
      </c>
    </row>
    <row r="33" spans="1:5" ht="15" thickBot="1">
      <c r="A33" s="24"/>
      <c r="B33" s="21" t="s">
        <v>13</v>
      </c>
      <c r="C33" s="21">
        <v>123</v>
      </c>
      <c r="D33" s="21">
        <v>273.52999999999997</v>
      </c>
      <c r="E33">
        <f>C33*D33</f>
        <v>33644.189999999995</v>
      </c>
    </row>
    <row r="34" spans="1:5" ht="15" thickBot="1">
      <c r="A34" s="25" t="s">
        <v>22</v>
      </c>
      <c r="B34" s="12" t="s">
        <v>13</v>
      </c>
      <c r="C34" s="12">
        <v>49</v>
      </c>
      <c r="D34" s="12">
        <v>249.17</v>
      </c>
      <c r="E34">
        <f>C34*D34</f>
        <v>12209.33</v>
      </c>
    </row>
    <row r="35" spans="1:5" ht="15" thickBot="1">
      <c r="A35" s="24" t="s">
        <v>17</v>
      </c>
      <c r="B35" s="21" t="s">
        <v>13</v>
      </c>
      <c r="C35" s="21">
        <v>310</v>
      </c>
      <c r="D35" s="21">
        <v>45.36</v>
      </c>
      <c r="E35">
        <f>C35*D35</f>
        <v>14061.6</v>
      </c>
    </row>
    <row r="36" spans="1:5" ht="15" thickBot="1">
      <c r="A36" s="25" t="s">
        <v>48</v>
      </c>
      <c r="B36" s="12" t="s">
        <v>23</v>
      </c>
      <c r="C36" s="12">
        <v>233</v>
      </c>
      <c r="D36" s="12">
        <v>204.61</v>
      </c>
      <c r="E36">
        <f>C36*D36</f>
        <v>47674.130000000005</v>
      </c>
    </row>
    <row r="37" spans="1:5" ht="15" thickBot="1">
      <c r="A37" s="24" t="s">
        <v>48</v>
      </c>
      <c r="B37" s="21" t="s">
        <v>19</v>
      </c>
      <c r="C37" s="21">
        <v>327</v>
      </c>
      <c r="D37" s="21">
        <v>114.18</v>
      </c>
      <c r="E37">
        <f>C37*D37</f>
        <v>37336.86</v>
      </c>
    </row>
    <row r="38" spans="1:5" ht="15" thickBot="1">
      <c r="A38" s="25" t="s">
        <v>22</v>
      </c>
      <c r="B38" s="12" t="s">
        <v>13</v>
      </c>
      <c r="C38" s="12">
        <v>358</v>
      </c>
      <c r="D38" s="12">
        <v>212.11</v>
      </c>
      <c r="E38">
        <f>C38*D38</f>
        <v>75935.38</v>
      </c>
    </row>
    <row r="39" spans="1:5" ht="15" thickBot="1">
      <c r="A39" s="24" t="s">
        <v>17</v>
      </c>
      <c r="B39" s="21" t="s">
        <v>19</v>
      </c>
      <c r="C39" s="21">
        <v>124</v>
      </c>
      <c r="D39" s="21"/>
      <c r="E39">
        <f>C39*D39</f>
        <v>0</v>
      </c>
    </row>
    <row r="40" spans="1:5" ht="15" thickBot="1">
      <c r="A40" s="25" t="s">
        <v>22</v>
      </c>
      <c r="B40" s="12" t="s">
        <v>23</v>
      </c>
      <c r="C40" s="12">
        <v>195</v>
      </c>
      <c r="D40" s="12">
        <v>421.02</v>
      </c>
      <c r="E40">
        <f>C40*D40</f>
        <v>82098.899999999994</v>
      </c>
    </row>
    <row r="41" spans="1:5" ht="15" thickBot="1">
      <c r="A41" s="24" t="s">
        <v>22</v>
      </c>
      <c r="B41" s="21" t="s">
        <v>23</v>
      </c>
      <c r="C41" s="21"/>
      <c r="D41" s="21">
        <v>91.23</v>
      </c>
      <c r="E41">
        <f>C41*D41</f>
        <v>0</v>
      </c>
    </row>
    <row r="42" spans="1:5" ht="15" thickBot="1">
      <c r="A42" s="25" t="s">
        <v>11</v>
      </c>
      <c r="B42" s="12" t="s">
        <v>19</v>
      </c>
      <c r="C42" s="12">
        <v>65</v>
      </c>
      <c r="D42" s="12">
        <v>480.59</v>
      </c>
      <c r="E42">
        <f>C42*D42</f>
        <v>31238.35</v>
      </c>
    </row>
    <row r="43" spans="1:5" ht="15" thickBot="1">
      <c r="A43" s="24" t="s">
        <v>11</v>
      </c>
      <c r="B43" s="21" t="s">
        <v>42</v>
      </c>
      <c r="C43" s="21">
        <v>49</v>
      </c>
      <c r="D43" s="21">
        <v>210.87</v>
      </c>
      <c r="E43">
        <f>C43*D43</f>
        <v>10332.630000000001</v>
      </c>
    </row>
    <row r="44" spans="1:5" ht="15" thickBot="1">
      <c r="A44" s="25" t="s">
        <v>11</v>
      </c>
      <c r="B44" s="12" t="s">
        <v>27</v>
      </c>
      <c r="C44" s="12">
        <v>363</v>
      </c>
      <c r="D44" s="12">
        <v>423.89</v>
      </c>
      <c r="E44">
        <f>C44*D44</f>
        <v>153872.07</v>
      </c>
    </row>
    <row r="45" spans="1:5" ht="15" thickBot="1">
      <c r="A45" s="24" t="s">
        <v>48</v>
      </c>
      <c r="B45" s="21" t="s">
        <v>42</v>
      </c>
      <c r="C45" s="21">
        <v>49</v>
      </c>
      <c r="D45" s="21">
        <v>316.24</v>
      </c>
      <c r="E45">
        <f>C45*D45</f>
        <v>15495.76</v>
      </c>
    </row>
    <row r="46" spans="1:5" ht="15" thickBot="1">
      <c r="A46" s="25" t="s">
        <v>17</v>
      </c>
      <c r="B46" s="12" t="s">
        <v>42</v>
      </c>
      <c r="C46" s="12">
        <v>356</v>
      </c>
      <c r="D46" s="12">
        <v>369</v>
      </c>
      <c r="E46">
        <f>C46*D46</f>
        <v>131364</v>
      </c>
    </row>
    <row r="47" spans="1:5" ht="15" thickBot="1">
      <c r="A47" s="24" t="s">
        <v>17</v>
      </c>
      <c r="B47" s="21" t="s">
        <v>42</v>
      </c>
      <c r="C47" s="21">
        <v>470</v>
      </c>
      <c r="D47" s="21"/>
      <c r="E47">
        <f>C47*D47</f>
        <v>0</v>
      </c>
    </row>
    <row r="48" spans="1:5" ht="15" thickBot="1">
      <c r="A48" s="25" t="s">
        <v>17</v>
      </c>
      <c r="B48" s="12" t="s">
        <v>13</v>
      </c>
      <c r="C48" s="12">
        <v>246</v>
      </c>
      <c r="D48" s="12">
        <v>254.9</v>
      </c>
      <c r="E48">
        <f>C48*D48</f>
        <v>62705.4</v>
      </c>
    </row>
    <row r="49" spans="1:5" ht="15" thickBot="1">
      <c r="A49" s="24" t="s">
        <v>17</v>
      </c>
      <c r="B49" s="21" t="s">
        <v>23</v>
      </c>
      <c r="C49" s="21">
        <v>298</v>
      </c>
      <c r="D49" s="21">
        <v>273.93</v>
      </c>
      <c r="E49">
        <f>C49*D49</f>
        <v>81631.14</v>
      </c>
    </row>
    <row r="50" spans="1:5" ht="15" thickBot="1">
      <c r="A50" s="25" t="s">
        <v>11</v>
      </c>
      <c r="B50" s="12" t="s">
        <v>42</v>
      </c>
      <c r="C50" s="12">
        <v>271</v>
      </c>
      <c r="D50" s="12">
        <v>259.43</v>
      </c>
      <c r="E50">
        <f>C50*D50</f>
        <v>70305.53</v>
      </c>
    </row>
    <row r="51" spans="1:5" ht="15" thickBot="1">
      <c r="A51" s="24" t="s">
        <v>48</v>
      </c>
      <c r="B51" s="21" t="s">
        <v>23</v>
      </c>
      <c r="C51" s="21">
        <v>225</v>
      </c>
      <c r="D51" s="21">
        <v>296.08999999999997</v>
      </c>
      <c r="E51">
        <f>C51*D51</f>
        <v>66620.25</v>
      </c>
    </row>
    <row r="52" spans="1:5" ht="15" thickBot="1">
      <c r="A52" s="25"/>
      <c r="B52" s="12" t="s">
        <v>19</v>
      </c>
      <c r="C52" s="12">
        <v>156</v>
      </c>
      <c r="D52" s="12">
        <v>19.55</v>
      </c>
      <c r="E52">
        <f>C52*D52</f>
        <v>3049.8</v>
      </c>
    </row>
    <row r="53" spans="1:5" ht="15" thickBot="1">
      <c r="A53" s="24" t="s">
        <v>11</v>
      </c>
      <c r="B53" s="21" t="s">
        <v>27</v>
      </c>
      <c r="C53" s="21">
        <v>345</v>
      </c>
      <c r="D53" s="21">
        <v>200.78</v>
      </c>
      <c r="E53">
        <f>C53*D53</f>
        <v>69269.100000000006</v>
      </c>
    </row>
    <row r="54" spans="1:5" ht="15" thickBot="1">
      <c r="A54" s="25" t="s">
        <v>48</v>
      </c>
      <c r="B54" s="12" t="s">
        <v>19</v>
      </c>
      <c r="C54" s="12">
        <v>177</v>
      </c>
      <c r="D54" s="12">
        <v>305.06</v>
      </c>
      <c r="E54">
        <f>C54*D54</f>
        <v>53995.62</v>
      </c>
    </row>
    <row r="55" spans="1:5" ht="15" thickBot="1">
      <c r="A55" s="24" t="s">
        <v>11</v>
      </c>
      <c r="B55" s="21" t="s">
        <v>19</v>
      </c>
      <c r="C55" s="21">
        <v>101</v>
      </c>
      <c r="D55" s="21">
        <v>300.87</v>
      </c>
      <c r="E55">
        <f>C55*D55</f>
        <v>30387.87</v>
      </c>
    </row>
    <row r="56" spans="1:5" ht="15" thickBot="1">
      <c r="A56" s="25" t="s">
        <v>17</v>
      </c>
      <c r="B56" s="12" t="s">
        <v>13</v>
      </c>
      <c r="C56" s="12">
        <v>362</v>
      </c>
      <c r="D56" s="12">
        <v>397.51</v>
      </c>
      <c r="E56">
        <f>C56*D56</f>
        <v>143898.62</v>
      </c>
    </row>
    <row r="57" spans="1:5" ht="15" thickBot="1">
      <c r="A57" s="24" t="s">
        <v>11</v>
      </c>
      <c r="B57" s="21" t="s">
        <v>27</v>
      </c>
      <c r="C57" s="21">
        <v>68</v>
      </c>
      <c r="D57" s="21">
        <v>329.23</v>
      </c>
      <c r="E57">
        <f>C57*D57</f>
        <v>22387.64</v>
      </c>
    </row>
    <row r="58" spans="1:5" ht="15" thickBot="1">
      <c r="A58" s="25" t="s">
        <v>17</v>
      </c>
      <c r="B58" s="12" t="s">
        <v>19</v>
      </c>
      <c r="C58" s="12">
        <v>68</v>
      </c>
      <c r="D58" s="12">
        <v>496.11</v>
      </c>
      <c r="E58">
        <f>C58*D58</f>
        <v>33735.480000000003</v>
      </c>
    </row>
    <row r="59" spans="1:5" ht="15" thickBot="1">
      <c r="A59" s="24" t="s">
        <v>17</v>
      </c>
      <c r="B59" s="21" t="s">
        <v>19</v>
      </c>
      <c r="C59" s="21">
        <v>313</v>
      </c>
      <c r="D59" s="21">
        <v>145.51</v>
      </c>
      <c r="E59">
        <f>C59*D59</f>
        <v>45544.63</v>
      </c>
    </row>
    <row r="60" spans="1:5" ht="15" thickBot="1">
      <c r="A60" s="25" t="s">
        <v>22</v>
      </c>
      <c r="B60" s="12" t="s">
        <v>27</v>
      </c>
      <c r="C60" s="12">
        <v>178</v>
      </c>
      <c r="D60" s="12">
        <v>182.78</v>
      </c>
      <c r="E60">
        <f>C60*D60</f>
        <v>32534.84</v>
      </c>
    </row>
    <row r="61" spans="1:5" ht="15" thickBot="1">
      <c r="A61" s="24" t="s">
        <v>11</v>
      </c>
      <c r="B61" s="21" t="s">
        <v>27</v>
      </c>
      <c r="C61" s="21">
        <v>278</v>
      </c>
      <c r="D61" s="21">
        <v>195</v>
      </c>
      <c r="E61">
        <f>C61*D61</f>
        <v>54210</v>
      </c>
    </row>
    <row r="62" spans="1:5" ht="15" thickBot="1">
      <c r="A62" s="25" t="s">
        <v>22</v>
      </c>
      <c r="B62" s="12" t="s">
        <v>19</v>
      </c>
      <c r="C62" s="12">
        <v>372</v>
      </c>
      <c r="D62" s="12">
        <v>235.58</v>
      </c>
      <c r="E62">
        <f>C62*D62</f>
        <v>87635.760000000009</v>
      </c>
    </row>
    <row r="63" spans="1:5" ht="15" thickBot="1">
      <c r="A63" s="24" t="s">
        <v>11</v>
      </c>
      <c r="B63" s="21" t="s">
        <v>27</v>
      </c>
      <c r="C63" s="21">
        <v>54</v>
      </c>
      <c r="D63" s="21">
        <v>418.82</v>
      </c>
      <c r="E63">
        <f>C63*D63</f>
        <v>22616.28</v>
      </c>
    </row>
    <row r="64" spans="1:5" ht="15" thickBot="1">
      <c r="A64" s="25" t="s">
        <v>11</v>
      </c>
      <c r="B64" s="12" t="s">
        <v>19</v>
      </c>
      <c r="C64" s="12">
        <v>354</v>
      </c>
      <c r="D64" s="12">
        <v>121.72</v>
      </c>
      <c r="E64">
        <f>C64*D64</f>
        <v>43088.88</v>
      </c>
    </row>
    <row r="65" spans="1:5" ht="15" thickBot="1">
      <c r="A65" s="24" t="s">
        <v>22</v>
      </c>
      <c r="B65" s="21" t="s">
        <v>19</v>
      </c>
      <c r="C65" s="21">
        <v>190</v>
      </c>
      <c r="D65" s="21">
        <v>389.12</v>
      </c>
      <c r="E65">
        <f>C65*D65</f>
        <v>73932.800000000003</v>
      </c>
    </row>
    <row r="66" spans="1:5" ht="15" thickBot="1">
      <c r="A66" s="25"/>
      <c r="B66" s="12" t="s">
        <v>13</v>
      </c>
      <c r="C66" s="12">
        <v>179</v>
      </c>
      <c r="D66" s="12">
        <v>205.63</v>
      </c>
      <c r="E66">
        <f>C66*D66</f>
        <v>36807.769999999997</v>
      </c>
    </row>
    <row r="67" spans="1:5" ht="15" thickBot="1">
      <c r="A67" s="24" t="s">
        <v>11</v>
      </c>
      <c r="B67" s="21" t="s">
        <v>42</v>
      </c>
      <c r="C67" s="21">
        <v>365</v>
      </c>
      <c r="D67" s="21">
        <v>302.92</v>
      </c>
      <c r="E67">
        <f>C67*D67</f>
        <v>110565.8</v>
      </c>
    </row>
    <row r="68" spans="1:5" ht="15" thickBot="1">
      <c r="A68" s="25" t="s">
        <v>48</v>
      </c>
      <c r="B68" s="12" t="s">
        <v>19</v>
      </c>
      <c r="C68" s="12">
        <v>200</v>
      </c>
      <c r="D68" s="12">
        <v>318.11</v>
      </c>
      <c r="E68">
        <f>C68*D68</f>
        <v>63622</v>
      </c>
    </row>
    <row r="69" spans="1:5" ht="15" thickBot="1">
      <c r="A69" s="24" t="s">
        <v>17</v>
      </c>
      <c r="B69" s="21" t="s">
        <v>23</v>
      </c>
      <c r="C69" s="21">
        <v>164</v>
      </c>
      <c r="D69" s="21">
        <v>189.56</v>
      </c>
      <c r="E69">
        <f>C69*D69</f>
        <v>31087.84</v>
      </c>
    </row>
    <row r="70" spans="1:5" ht="15" thickBot="1">
      <c r="A70" s="25" t="s">
        <v>22</v>
      </c>
      <c r="B70" s="12" t="s">
        <v>42</v>
      </c>
      <c r="C70" s="12">
        <v>431</v>
      </c>
      <c r="D70" s="12">
        <v>258.74</v>
      </c>
      <c r="E70">
        <f>C70*D70</f>
        <v>111516.94</v>
      </c>
    </row>
    <row r="71" spans="1:5" ht="15" thickBot="1">
      <c r="A71" s="24" t="s">
        <v>17</v>
      </c>
      <c r="B71" s="21" t="s">
        <v>42</v>
      </c>
      <c r="C71" s="21">
        <v>197</v>
      </c>
      <c r="D71" s="21">
        <v>209.45</v>
      </c>
      <c r="E71">
        <f>C71*D71</f>
        <v>41261.649999999994</v>
      </c>
    </row>
    <row r="72" spans="1:5" ht="15" thickBot="1">
      <c r="A72" s="25" t="s">
        <v>48</v>
      </c>
      <c r="B72" s="12" t="s">
        <v>42</v>
      </c>
      <c r="C72" s="12">
        <v>16</v>
      </c>
      <c r="D72" s="12">
        <v>39.22</v>
      </c>
      <c r="E72">
        <f>C72*D72</f>
        <v>627.52</v>
      </c>
    </row>
    <row r="73" spans="1:5" ht="15" thickBot="1">
      <c r="A73" s="24" t="s">
        <v>48</v>
      </c>
      <c r="B73" s="21" t="s">
        <v>13</v>
      </c>
      <c r="C73" s="21">
        <v>142</v>
      </c>
      <c r="D73" s="21">
        <v>221.4</v>
      </c>
      <c r="E73">
        <f>C73*D73</f>
        <v>31438.799999999999</v>
      </c>
    </row>
    <row r="74" spans="1:5" ht="15" thickBot="1">
      <c r="A74" s="25" t="s">
        <v>48</v>
      </c>
      <c r="B74" s="12" t="s">
        <v>19</v>
      </c>
      <c r="C74" s="12">
        <v>244</v>
      </c>
      <c r="D74" s="12">
        <v>53.21</v>
      </c>
      <c r="E74">
        <f>C74*D74</f>
        <v>12983.24</v>
      </c>
    </row>
    <row r="75" spans="1:5" ht="15" thickBot="1">
      <c r="A75" s="24" t="s">
        <v>22</v>
      </c>
      <c r="B75" s="21" t="s">
        <v>13</v>
      </c>
      <c r="C75" s="21">
        <v>54</v>
      </c>
      <c r="D75" s="21">
        <v>205.49</v>
      </c>
      <c r="E75">
        <f>C75*D75</f>
        <v>11096.460000000001</v>
      </c>
    </row>
    <row r="76" spans="1:5" ht="15" thickBot="1">
      <c r="A76" s="25" t="s">
        <v>48</v>
      </c>
      <c r="B76" s="12" t="s">
        <v>19</v>
      </c>
      <c r="C76" s="12">
        <v>323</v>
      </c>
      <c r="D76" s="12">
        <v>298.49</v>
      </c>
      <c r="E76">
        <f>C76*D76</f>
        <v>96412.27</v>
      </c>
    </row>
    <row r="77" spans="1:5" ht="15" thickBot="1">
      <c r="A77" s="24" t="s">
        <v>22</v>
      </c>
      <c r="B77" s="21" t="s">
        <v>13</v>
      </c>
      <c r="C77" s="21">
        <v>258</v>
      </c>
      <c r="D77" s="21">
        <v>291.81</v>
      </c>
      <c r="E77">
        <f>C77*D77</f>
        <v>75286.98</v>
      </c>
    </row>
    <row r="78" spans="1:5" ht="15" thickBot="1">
      <c r="A78" s="25" t="s">
        <v>48</v>
      </c>
      <c r="B78" s="12" t="s">
        <v>13</v>
      </c>
      <c r="C78" s="12">
        <v>40</v>
      </c>
      <c r="D78" s="12">
        <v>333</v>
      </c>
      <c r="E78">
        <f>C78*D78</f>
        <v>13320</v>
      </c>
    </row>
    <row r="79" spans="1:5" ht="15" thickBot="1">
      <c r="A79" s="24" t="s">
        <v>17</v>
      </c>
      <c r="B79" s="21" t="s">
        <v>23</v>
      </c>
      <c r="C79" s="21">
        <v>32</v>
      </c>
      <c r="D79" s="21">
        <v>52.15</v>
      </c>
      <c r="E79">
        <f>C79*D79</f>
        <v>1668.8</v>
      </c>
    </row>
    <row r="80" spans="1:5" ht="15" thickBot="1">
      <c r="A80" s="25" t="s">
        <v>17</v>
      </c>
      <c r="B80" s="12" t="s">
        <v>13</v>
      </c>
      <c r="C80" s="12">
        <v>435</v>
      </c>
      <c r="D80" s="12">
        <v>327.8</v>
      </c>
      <c r="E80">
        <f>C80*D80</f>
        <v>142593</v>
      </c>
    </row>
    <row r="81" spans="1:5" ht="15" thickBot="1">
      <c r="A81" s="24" t="s">
        <v>11</v>
      </c>
      <c r="B81" s="21" t="s">
        <v>27</v>
      </c>
      <c r="C81" s="21">
        <v>403</v>
      </c>
      <c r="D81" s="21">
        <v>159.51</v>
      </c>
      <c r="E81">
        <f>C81*D81</f>
        <v>64282.53</v>
      </c>
    </row>
    <row r="82" spans="1:5" ht="15" thickBot="1">
      <c r="A82" s="25" t="s">
        <v>17</v>
      </c>
      <c r="B82" s="12" t="s">
        <v>23</v>
      </c>
      <c r="C82" s="12">
        <v>169</v>
      </c>
      <c r="D82" s="12"/>
      <c r="E82">
        <f>C82*D82</f>
        <v>0</v>
      </c>
    </row>
    <row r="83" spans="1:5" ht="15" thickBot="1">
      <c r="A83" s="24" t="s">
        <v>11</v>
      </c>
      <c r="B83" s="21" t="s">
        <v>13</v>
      </c>
      <c r="C83" s="21">
        <v>372</v>
      </c>
      <c r="D83" s="21">
        <v>429.7</v>
      </c>
      <c r="E83">
        <f>C83*D83</f>
        <v>159848.4</v>
      </c>
    </row>
    <row r="84" spans="1:5" ht="15" thickBot="1">
      <c r="A84" s="25" t="s">
        <v>17</v>
      </c>
      <c r="B84" s="12" t="s">
        <v>42</v>
      </c>
      <c r="C84" s="12">
        <v>446</v>
      </c>
      <c r="D84" s="12">
        <v>9.4700000000000006</v>
      </c>
      <c r="E84">
        <f>C84*D84</f>
        <v>4223.62</v>
      </c>
    </row>
    <row r="85" spans="1:5" ht="15" thickBot="1">
      <c r="A85" s="24" t="s">
        <v>22</v>
      </c>
      <c r="B85" s="21" t="s">
        <v>27</v>
      </c>
      <c r="C85" s="21">
        <v>167</v>
      </c>
      <c r="D85" s="21">
        <v>296.26</v>
      </c>
      <c r="E85">
        <f>C85*D85</f>
        <v>49475.42</v>
      </c>
    </row>
    <row r="86" spans="1:5" ht="15" thickBot="1">
      <c r="A86" s="25" t="s">
        <v>17</v>
      </c>
      <c r="B86" s="12" t="s">
        <v>27</v>
      </c>
      <c r="C86" s="12">
        <v>48</v>
      </c>
      <c r="D86" s="12">
        <v>301.36</v>
      </c>
      <c r="E86">
        <f>C86*D86</f>
        <v>14465.28</v>
      </c>
    </row>
    <row r="87" spans="1:5" ht="15" thickBot="1">
      <c r="A87" s="24" t="s">
        <v>11</v>
      </c>
      <c r="B87" s="21" t="s">
        <v>27</v>
      </c>
      <c r="C87" s="21">
        <v>424</v>
      </c>
      <c r="D87" s="21">
        <v>201.35</v>
      </c>
      <c r="E87">
        <f>C87*D87</f>
        <v>85372.4</v>
      </c>
    </row>
    <row r="88" spans="1:5" ht="15" thickBot="1">
      <c r="A88" s="25" t="s">
        <v>11</v>
      </c>
      <c r="B88" s="12" t="s">
        <v>23</v>
      </c>
      <c r="C88" s="12">
        <v>91</v>
      </c>
      <c r="D88" s="12">
        <v>122.33</v>
      </c>
      <c r="E88">
        <f>C88*D88</f>
        <v>11132.03</v>
      </c>
    </row>
    <row r="89" spans="1:5" ht="15" thickBot="1">
      <c r="A89" s="24" t="s">
        <v>48</v>
      </c>
      <c r="B89" s="21" t="s">
        <v>13</v>
      </c>
      <c r="C89" s="21">
        <v>365</v>
      </c>
      <c r="D89" s="21">
        <v>121.16</v>
      </c>
      <c r="E89">
        <f>C89*D89</f>
        <v>44223.4</v>
      </c>
    </row>
    <row r="90" spans="1:5" ht="15" thickBot="1">
      <c r="A90" s="25" t="s">
        <v>22</v>
      </c>
      <c r="B90" s="12" t="s">
        <v>13</v>
      </c>
      <c r="C90" s="12">
        <v>267</v>
      </c>
      <c r="D90" s="12">
        <v>442.44</v>
      </c>
      <c r="E90">
        <f>C90*D90</f>
        <v>118131.48</v>
      </c>
    </row>
    <row r="91" spans="1:5" ht="15" thickBot="1">
      <c r="A91" s="24" t="s">
        <v>17</v>
      </c>
      <c r="B91" s="21" t="s">
        <v>42</v>
      </c>
      <c r="C91" s="21">
        <v>215</v>
      </c>
      <c r="D91" s="21">
        <v>223.8</v>
      </c>
      <c r="E91">
        <f>C91*D91</f>
        <v>48117</v>
      </c>
    </row>
    <row r="92" spans="1:5" ht="15" thickBot="1">
      <c r="A92" s="25" t="s">
        <v>48</v>
      </c>
      <c r="B92" s="12" t="s">
        <v>42</v>
      </c>
      <c r="C92" s="12">
        <v>86</v>
      </c>
      <c r="D92" s="12">
        <v>168.79</v>
      </c>
      <c r="E92">
        <f>C92*D92</f>
        <v>14515.939999999999</v>
      </c>
    </row>
    <row r="93" spans="1:5" ht="15" thickBot="1">
      <c r="A93" s="24" t="s">
        <v>17</v>
      </c>
      <c r="B93" s="21" t="s">
        <v>27</v>
      </c>
      <c r="C93" s="21">
        <v>486</v>
      </c>
      <c r="D93" s="21">
        <v>227.14</v>
      </c>
      <c r="E93">
        <f>C93*D93</f>
        <v>110390.04</v>
      </c>
    </row>
    <row r="94" spans="1:5" ht="15" thickBot="1">
      <c r="A94" s="25" t="s">
        <v>17</v>
      </c>
      <c r="B94" s="12" t="s">
        <v>42</v>
      </c>
      <c r="C94" s="12">
        <v>21</v>
      </c>
      <c r="D94" s="12"/>
      <c r="E94">
        <f>C94*D94</f>
        <v>0</v>
      </c>
    </row>
    <row r="95" spans="1:5" ht="15" thickBot="1">
      <c r="A95" s="24" t="s">
        <v>48</v>
      </c>
      <c r="B95" s="21" t="s">
        <v>23</v>
      </c>
      <c r="C95" s="21">
        <v>304</v>
      </c>
      <c r="D95" s="21">
        <v>77.150000000000006</v>
      </c>
      <c r="E95">
        <f>C95*D95</f>
        <v>23453.600000000002</v>
      </c>
    </row>
    <row r="96" spans="1:5" ht="15" thickBot="1">
      <c r="A96" s="25" t="s">
        <v>48</v>
      </c>
      <c r="B96" s="12" t="s">
        <v>13</v>
      </c>
      <c r="C96" s="12">
        <v>459</v>
      </c>
      <c r="D96" s="12">
        <v>227.47</v>
      </c>
      <c r="E96">
        <f>C96*D96</f>
        <v>104408.73</v>
      </c>
    </row>
    <row r="97" spans="1:5" ht="15" thickBot="1">
      <c r="A97" s="24" t="s">
        <v>48</v>
      </c>
      <c r="B97" s="21" t="s">
        <v>27</v>
      </c>
      <c r="C97" s="21">
        <v>233</v>
      </c>
      <c r="D97" s="21">
        <v>296</v>
      </c>
      <c r="E97">
        <f>C97*D97</f>
        <v>68968</v>
      </c>
    </row>
    <row r="98" spans="1:5" ht="15" thickBot="1">
      <c r="A98" s="25" t="s">
        <v>48</v>
      </c>
      <c r="B98" s="12" t="s">
        <v>42</v>
      </c>
      <c r="C98" s="12">
        <v>22</v>
      </c>
      <c r="D98" s="12">
        <v>474.55</v>
      </c>
      <c r="E98">
        <f>C98*D98</f>
        <v>10440.1</v>
      </c>
    </row>
    <row r="99" spans="1:5" ht="15" thickBot="1">
      <c r="A99" s="24" t="s">
        <v>48</v>
      </c>
      <c r="B99" s="21" t="s">
        <v>23</v>
      </c>
      <c r="C99" s="21">
        <v>55</v>
      </c>
      <c r="D99" s="21">
        <v>130</v>
      </c>
      <c r="E99">
        <f>C99*D99</f>
        <v>7150</v>
      </c>
    </row>
    <row r="100" spans="1:5" ht="15" thickBot="1">
      <c r="A100" s="25" t="s">
        <v>17</v>
      </c>
      <c r="B100" s="12" t="s">
        <v>23</v>
      </c>
      <c r="C100" s="12">
        <v>164</v>
      </c>
      <c r="D100" s="12">
        <v>182.83</v>
      </c>
      <c r="E100">
        <f>C100*D100</f>
        <v>29984.120000000003</v>
      </c>
    </row>
    <row r="101" spans="1:5" ht="15" thickBot="1">
      <c r="A101" s="24" t="s">
        <v>48</v>
      </c>
      <c r="B101" s="21" t="s">
        <v>42</v>
      </c>
      <c r="C101" s="21">
        <v>122</v>
      </c>
      <c r="D101" s="21">
        <v>192.78</v>
      </c>
      <c r="E101">
        <f>C101*D101</f>
        <v>23519.16</v>
      </c>
    </row>
    <row r="102" spans="1:5" ht="15" thickBot="1">
      <c r="A102" s="25" t="s">
        <v>22</v>
      </c>
      <c r="B102" s="12" t="s">
        <v>13</v>
      </c>
      <c r="C102" s="12">
        <v>242</v>
      </c>
      <c r="D102" s="12">
        <v>304.74</v>
      </c>
      <c r="E102">
        <f>C102*D102</f>
        <v>73747.08</v>
      </c>
    </row>
    <row r="103" spans="1:5" ht="15" thickBot="1">
      <c r="A103" s="24" t="s">
        <v>11</v>
      </c>
      <c r="B103" s="21" t="s">
        <v>42</v>
      </c>
      <c r="C103" s="21">
        <v>26</v>
      </c>
      <c r="D103" s="21">
        <v>181.58</v>
      </c>
      <c r="E103">
        <f>C103*D103</f>
        <v>4721.08</v>
      </c>
    </row>
    <row r="104" spans="1:5" ht="15" thickBot="1">
      <c r="A104" s="25" t="s">
        <v>48</v>
      </c>
      <c r="B104" s="12" t="s">
        <v>27</v>
      </c>
      <c r="C104" s="12">
        <v>369</v>
      </c>
      <c r="D104" s="12">
        <v>269.08999999999997</v>
      </c>
      <c r="E104">
        <f>C104*D104</f>
        <v>99294.209999999992</v>
      </c>
    </row>
    <row r="105" spans="1:5" ht="15" thickBot="1">
      <c r="A105" s="24" t="s">
        <v>48</v>
      </c>
      <c r="B105" s="21" t="s">
        <v>42</v>
      </c>
      <c r="C105" s="21">
        <v>232</v>
      </c>
      <c r="D105" s="21">
        <v>391.99</v>
      </c>
      <c r="E105">
        <f>C105*D105</f>
        <v>90941.680000000008</v>
      </c>
    </row>
    <row r="106" spans="1:5" ht="15" thickBot="1">
      <c r="A106" s="25" t="s">
        <v>17</v>
      </c>
      <c r="B106" s="12" t="s">
        <v>23</v>
      </c>
      <c r="C106" s="12">
        <v>363</v>
      </c>
      <c r="D106" s="12">
        <v>354.17</v>
      </c>
      <c r="E106">
        <f>C106*D106</f>
        <v>128563.71</v>
      </c>
    </row>
    <row r="107" spans="1:5" ht="15" thickBot="1">
      <c r="A107" s="24" t="s">
        <v>48</v>
      </c>
      <c r="B107" s="21" t="s">
        <v>42</v>
      </c>
      <c r="C107" s="21">
        <v>197</v>
      </c>
      <c r="D107" s="21">
        <v>225.95</v>
      </c>
      <c r="E107">
        <f>C107*D107</f>
        <v>44512.149999999994</v>
      </c>
    </row>
    <row r="108" spans="1:5" ht="15" thickBot="1">
      <c r="A108" s="25" t="s">
        <v>48</v>
      </c>
      <c r="B108" s="12" t="s">
        <v>13</v>
      </c>
      <c r="C108" s="12">
        <v>457</v>
      </c>
      <c r="D108" s="12">
        <v>432.79</v>
      </c>
      <c r="E108">
        <f>C108*D108</f>
        <v>197785.03</v>
      </c>
    </row>
    <row r="109" spans="1:5" ht="15" thickBot="1">
      <c r="A109" s="24" t="s">
        <v>48</v>
      </c>
      <c r="B109" s="21" t="s">
        <v>19</v>
      </c>
      <c r="C109" s="21">
        <v>353</v>
      </c>
      <c r="D109" s="21">
        <v>281.27999999999997</v>
      </c>
      <c r="E109">
        <f>C109*D109</f>
        <v>99291.839999999997</v>
      </c>
    </row>
    <row r="110" spans="1:5" ht="15" thickBot="1">
      <c r="A110" s="25" t="s">
        <v>17</v>
      </c>
      <c r="B110" s="12" t="s">
        <v>42</v>
      </c>
      <c r="C110" s="12">
        <v>374</v>
      </c>
      <c r="D110" s="12">
        <v>272.25</v>
      </c>
      <c r="E110">
        <f>C110*D110</f>
        <v>101821.5</v>
      </c>
    </row>
    <row r="111" spans="1:5" ht="15" thickBot="1">
      <c r="A111" s="24" t="s">
        <v>48</v>
      </c>
      <c r="B111" s="21" t="s">
        <v>13</v>
      </c>
      <c r="C111" s="21">
        <v>172</v>
      </c>
      <c r="D111" s="21">
        <v>21.92</v>
      </c>
      <c r="E111">
        <f>C111*D111</f>
        <v>3770.2400000000002</v>
      </c>
    </row>
    <row r="112" spans="1:5" ht="15" thickBot="1">
      <c r="A112" s="25" t="s">
        <v>11</v>
      </c>
      <c r="B112" s="12" t="s">
        <v>13</v>
      </c>
      <c r="C112" s="12">
        <v>335</v>
      </c>
      <c r="D112" s="12">
        <v>493.41</v>
      </c>
      <c r="E112">
        <f>C112*D112</f>
        <v>165292.35</v>
      </c>
    </row>
    <row r="113" spans="1:5" ht="15" thickBot="1">
      <c r="A113" s="24" t="s">
        <v>17</v>
      </c>
      <c r="B113" s="21" t="s">
        <v>23</v>
      </c>
      <c r="C113" s="21">
        <v>476</v>
      </c>
      <c r="D113" s="21">
        <v>65.87</v>
      </c>
      <c r="E113">
        <f>C113*D113</f>
        <v>31354.120000000003</v>
      </c>
    </row>
    <row r="114" spans="1:5" ht="15" thickBot="1">
      <c r="A114" s="25" t="s">
        <v>11</v>
      </c>
      <c r="B114" s="12" t="s">
        <v>13</v>
      </c>
      <c r="C114" s="12">
        <v>423</v>
      </c>
      <c r="D114" s="12">
        <v>119.41</v>
      </c>
      <c r="E114">
        <f>C114*D114</f>
        <v>50510.43</v>
      </c>
    </row>
    <row r="115" spans="1:5" ht="15" thickBot="1">
      <c r="A115" s="24" t="s">
        <v>17</v>
      </c>
      <c r="B115" s="21" t="s">
        <v>13</v>
      </c>
      <c r="C115" s="21">
        <v>464</v>
      </c>
      <c r="D115" s="21">
        <v>30.59</v>
      </c>
      <c r="E115">
        <f>C115*D115</f>
        <v>14193.76</v>
      </c>
    </row>
    <row r="116" spans="1:5" ht="15" thickBot="1">
      <c r="A116" s="25" t="s">
        <v>48</v>
      </c>
      <c r="B116" s="12" t="s">
        <v>13</v>
      </c>
      <c r="C116" s="12">
        <v>83</v>
      </c>
      <c r="D116" s="12">
        <v>321.8</v>
      </c>
      <c r="E116">
        <f>C116*D116</f>
        <v>26709.4</v>
      </c>
    </row>
    <row r="117" spans="1:5" ht="15" thickBot="1">
      <c r="A117" s="24" t="s">
        <v>11</v>
      </c>
      <c r="B117" s="21" t="s">
        <v>13</v>
      </c>
      <c r="C117" s="21">
        <v>242</v>
      </c>
      <c r="D117" s="21">
        <v>116.23</v>
      </c>
      <c r="E117">
        <f>C117*D117</f>
        <v>28127.66</v>
      </c>
    </row>
    <row r="118" spans="1:5" ht="15" thickBot="1">
      <c r="A118" s="25" t="s">
        <v>17</v>
      </c>
      <c r="B118" s="12" t="s">
        <v>27</v>
      </c>
      <c r="C118" s="12">
        <v>233</v>
      </c>
      <c r="D118" s="12">
        <v>94.11</v>
      </c>
      <c r="E118">
        <f>C118*D118</f>
        <v>21927.63</v>
      </c>
    </row>
    <row r="119" spans="1:5" ht="15" thickBot="1">
      <c r="A119" s="24" t="s">
        <v>22</v>
      </c>
      <c r="B119" s="21" t="s">
        <v>27</v>
      </c>
      <c r="C119" s="21">
        <v>491</v>
      </c>
      <c r="D119" s="21">
        <v>48.84</v>
      </c>
      <c r="E119">
        <f>C119*D119</f>
        <v>23980.440000000002</v>
      </c>
    </row>
    <row r="120" spans="1:5" ht="15" thickBot="1">
      <c r="A120" s="25"/>
      <c r="B120" s="12" t="s">
        <v>23</v>
      </c>
      <c r="C120" s="12">
        <v>328</v>
      </c>
      <c r="D120" s="12">
        <v>56.14</v>
      </c>
      <c r="E120">
        <f>C120*D120</f>
        <v>18413.920000000002</v>
      </c>
    </row>
    <row r="121" spans="1:5" ht="15" thickBot="1">
      <c r="A121" s="24" t="s">
        <v>17</v>
      </c>
      <c r="B121" s="21" t="s">
        <v>42</v>
      </c>
      <c r="C121" s="21">
        <v>421</v>
      </c>
      <c r="D121" s="21">
        <v>294.41000000000003</v>
      </c>
      <c r="E121">
        <f>C121*D121</f>
        <v>123946.61000000002</v>
      </c>
    </row>
    <row r="122" spans="1:5" ht="15" thickBot="1">
      <c r="A122" s="25" t="s">
        <v>22</v>
      </c>
      <c r="B122" s="12" t="s">
        <v>13</v>
      </c>
      <c r="C122" s="12">
        <v>69</v>
      </c>
      <c r="D122" s="12">
        <v>345.66</v>
      </c>
      <c r="E122">
        <f>C122*D122</f>
        <v>23850.54</v>
      </c>
    </row>
    <row r="123" spans="1:5" ht="15" thickBot="1">
      <c r="A123" s="24" t="s">
        <v>17</v>
      </c>
      <c r="B123" s="21" t="s">
        <v>42</v>
      </c>
      <c r="C123" s="21">
        <v>344</v>
      </c>
      <c r="D123" s="21">
        <v>201.7</v>
      </c>
      <c r="E123">
        <f>C123*D123</f>
        <v>69384.800000000003</v>
      </c>
    </row>
    <row r="124" spans="1:5" ht="15" thickBot="1">
      <c r="A124" s="25"/>
      <c r="B124" s="12" t="s">
        <v>42</v>
      </c>
      <c r="C124" s="12">
        <v>231</v>
      </c>
      <c r="D124" s="12">
        <v>242.55</v>
      </c>
      <c r="E124">
        <f>C124*D124</f>
        <v>56029.05</v>
      </c>
    </row>
    <row r="125" spans="1:5" ht="15" thickBot="1">
      <c r="A125" s="24" t="s">
        <v>48</v>
      </c>
      <c r="B125" s="21" t="s">
        <v>23</v>
      </c>
      <c r="C125" s="21">
        <v>46</v>
      </c>
      <c r="D125" s="21">
        <v>344.55</v>
      </c>
      <c r="E125">
        <f>C125*D125</f>
        <v>15849.300000000001</v>
      </c>
    </row>
    <row r="126" spans="1:5" ht="15" thickBot="1">
      <c r="A126" s="25" t="s">
        <v>11</v>
      </c>
      <c r="B126" s="12" t="s">
        <v>13</v>
      </c>
      <c r="C126" s="12">
        <v>486</v>
      </c>
      <c r="D126" s="12">
        <v>13.6</v>
      </c>
      <c r="E126">
        <f>C126*D126</f>
        <v>6609.5999999999995</v>
      </c>
    </row>
    <row r="127" spans="1:5" ht="15" thickBot="1">
      <c r="A127" s="24" t="s">
        <v>22</v>
      </c>
      <c r="B127" s="21" t="s">
        <v>13</v>
      </c>
      <c r="C127" s="21">
        <v>287</v>
      </c>
      <c r="D127" s="21">
        <v>164.95</v>
      </c>
      <c r="E127">
        <f>C127*D127</f>
        <v>47340.649999999994</v>
      </c>
    </row>
    <row r="128" spans="1:5" ht="15" thickBot="1">
      <c r="A128" s="25" t="s">
        <v>17</v>
      </c>
      <c r="B128" s="12" t="s">
        <v>19</v>
      </c>
      <c r="C128" s="12">
        <v>205</v>
      </c>
      <c r="D128" s="12">
        <v>486.68</v>
      </c>
      <c r="E128">
        <f>C128*D128</f>
        <v>99769.4</v>
      </c>
    </row>
    <row r="129" spans="1:5" ht="15" thickBot="1">
      <c r="A129" s="24" t="s">
        <v>48</v>
      </c>
      <c r="B129" s="21" t="s">
        <v>42</v>
      </c>
      <c r="C129" s="21">
        <v>413</v>
      </c>
      <c r="D129" s="21">
        <v>292.16000000000003</v>
      </c>
      <c r="E129">
        <f>C129*D129</f>
        <v>120662.08000000002</v>
      </c>
    </row>
    <row r="130" spans="1:5" ht="15" thickBot="1">
      <c r="A130" s="25" t="s">
        <v>22</v>
      </c>
      <c r="B130" s="12" t="s">
        <v>42</v>
      </c>
      <c r="C130" s="12">
        <v>361</v>
      </c>
      <c r="D130" s="12">
        <v>130.84</v>
      </c>
      <c r="E130">
        <f>C130*D130</f>
        <v>47233.24</v>
      </c>
    </row>
    <row r="131" spans="1:5" ht="15" thickBot="1">
      <c r="A131" s="24" t="s">
        <v>17</v>
      </c>
      <c r="B131" s="21" t="s">
        <v>27</v>
      </c>
      <c r="C131" s="21">
        <v>493</v>
      </c>
      <c r="D131" s="21">
        <v>263.26</v>
      </c>
      <c r="E131">
        <f>C131*D131</f>
        <v>129787.18</v>
      </c>
    </row>
    <row r="132" spans="1:5" ht="15" thickBot="1">
      <c r="A132" s="25" t="s">
        <v>17</v>
      </c>
      <c r="B132" s="12" t="s">
        <v>19</v>
      </c>
      <c r="C132" s="12">
        <v>251</v>
      </c>
      <c r="D132" s="12">
        <v>174.61</v>
      </c>
      <c r="E132">
        <f>C132*D132</f>
        <v>43827.11</v>
      </c>
    </row>
    <row r="133" spans="1:5" ht="15" thickBot="1">
      <c r="A133" s="24" t="s">
        <v>17</v>
      </c>
      <c r="B133" s="21" t="s">
        <v>27</v>
      </c>
      <c r="C133" s="21"/>
      <c r="D133" s="21">
        <v>268.45999999999998</v>
      </c>
      <c r="E133">
        <f>C133*D133</f>
        <v>0</v>
      </c>
    </row>
    <row r="134" spans="1:5" ht="15" thickBot="1">
      <c r="A134" s="25" t="s">
        <v>22</v>
      </c>
      <c r="B134" s="12" t="s">
        <v>27</v>
      </c>
      <c r="C134" s="12">
        <v>228</v>
      </c>
      <c r="D134" s="12">
        <v>67.239999999999995</v>
      </c>
      <c r="E134">
        <f>C134*D134</f>
        <v>15330.72</v>
      </c>
    </row>
    <row r="135" spans="1:5" ht="15" thickBot="1">
      <c r="A135" s="24" t="s">
        <v>22</v>
      </c>
      <c r="B135" s="21" t="s">
        <v>27</v>
      </c>
      <c r="C135" s="21">
        <v>201</v>
      </c>
      <c r="D135" s="21">
        <v>70.69</v>
      </c>
      <c r="E135">
        <f>C135*D135</f>
        <v>14208.689999999999</v>
      </c>
    </row>
    <row r="136" spans="1:5" ht="15" thickBot="1">
      <c r="A136" s="25" t="s">
        <v>22</v>
      </c>
      <c r="B136" s="12" t="s">
        <v>23</v>
      </c>
      <c r="C136" s="12">
        <v>26</v>
      </c>
      <c r="D136" s="12">
        <v>76.05</v>
      </c>
      <c r="E136">
        <f>C136*D136</f>
        <v>1977.3</v>
      </c>
    </row>
    <row r="137" spans="1:5" ht="15" thickBot="1">
      <c r="A137" s="24" t="s">
        <v>11</v>
      </c>
      <c r="B137" s="21" t="s">
        <v>23</v>
      </c>
      <c r="C137" s="21">
        <v>21</v>
      </c>
      <c r="D137" s="21">
        <v>470.21</v>
      </c>
      <c r="E137">
        <f>C137*D137</f>
        <v>9874.41</v>
      </c>
    </row>
    <row r="138" spans="1:5" ht="15" thickBot="1">
      <c r="A138" s="25" t="s">
        <v>22</v>
      </c>
      <c r="B138" s="12" t="s">
        <v>27</v>
      </c>
      <c r="C138" s="12">
        <v>415</v>
      </c>
      <c r="D138" s="12">
        <v>367.78</v>
      </c>
      <c r="E138">
        <f>C138*D138</f>
        <v>152628.69999999998</v>
      </c>
    </row>
    <row r="139" spans="1:5" ht="15" thickBot="1">
      <c r="A139" s="24" t="s">
        <v>22</v>
      </c>
      <c r="B139" s="21" t="s">
        <v>19</v>
      </c>
      <c r="C139" s="21">
        <v>410</v>
      </c>
      <c r="D139" s="21">
        <v>85.38</v>
      </c>
      <c r="E139">
        <f>C139*D139</f>
        <v>35005.799999999996</v>
      </c>
    </row>
    <row r="140" spans="1:5" ht="15" thickBot="1">
      <c r="A140" s="25" t="s">
        <v>22</v>
      </c>
      <c r="B140" s="12" t="s">
        <v>42</v>
      </c>
      <c r="C140" s="12">
        <v>403</v>
      </c>
      <c r="D140" s="12">
        <v>98.23</v>
      </c>
      <c r="E140">
        <f>C140*D140</f>
        <v>39586.69</v>
      </c>
    </row>
    <row r="141" spans="1:5" ht="15" thickBot="1">
      <c r="A141" s="24" t="s">
        <v>11</v>
      </c>
      <c r="B141" s="21" t="s">
        <v>19</v>
      </c>
      <c r="C141" s="21">
        <v>383</v>
      </c>
      <c r="D141" s="21">
        <v>366.76</v>
      </c>
      <c r="E141">
        <f>C141*D141</f>
        <v>140469.07999999999</v>
      </c>
    </row>
    <row r="142" spans="1:5" ht="15" thickBot="1">
      <c r="A142" s="25" t="s">
        <v>22</v>
      </c>
      <c r="B142" s="12" t="s">
        <v>13</v>
      </c>
      <c r="C142" s="12">
        <v>202</v>
      </c>
      <c r="D142" s="12">
        <v>82.3</v>
      </c>
      <c r="E142">
        <f>C142*D142</f>
        <v>16624.599999999999</v>
      </c>
    </row>
    <row r="143" spans="1:5" ht="15" thickBot="1">
      <c r="A143" s="24" t="s">
        <v>17</v>
      </c>
      <c r="B143" s="21" t="s">
        <v>23</v>
      </c>
      <c r="C143" s="21">
        <v>31</v>
      </c>
      <c r="D143" s="21">
        <v>121.11</v>
      </c>
      <c r="E143">
        <f>C143*D143</f>
        <v>3754.41</v>
      </c>
    </row>
    <row r="144" spans="1:5" ht="15" thickBot="1">
      <c r="A144" s="25" t="s">
        <v>22</v>
      </c>
      <c r="B144" s="12" t="s">
        <v>42</v>
      </c>
      <c r="C144" s="12">
        <v>483</v>
      </c>
      <c r="D144" s="12">
        <v>481.86</v>
      </c>
      <c r="E144">
        <f>C144*D144</f>
        <v>232738.38</v>
      </c>
    </row>
    <row r="145" spans="1:5" ht="15" thickBot="1">
      <c r="A145" s="24" t="s">
        <v>17</v>
      </c>
      <c r="B145" s="21" t="s">
        <v>42</v>
      </c>
      <c r="C145" s="21">
        <v>129</v>
      </c>
      <c r="D145" s="21">
        <v>131.38</v>
      </c>
      <c r="E145">
        <f>C145*D145</f>
        <v>16948.02</v>
      </c>
    </row>
    <row r="146" spans="1:5" ht="15" thickBot="1">
      <c r="A146" s="25" t="s">
        <v>17</v>
      </c>
      <c r="B146" s="12" t="s">
        <v>13</v>
      </c>
      <c r="C146" s="12">
        <v>219</v>
      </c>
      <c r="D146" s="12">
        <v>332.51</v>
      </c>
      <c r="E146">
        <f>C146*D146</f>
        <v>72819.69</v>
      </c>
    </row>
    <row r="147" spans="1:5" ht="15" thickBot="1">
      <c r="A147" s="24" t="s">
        <v>17</v>
      </c>
      <c r="B147" s="21" t="s">
        <v>13</v>
      </c>
      <c r="C147" s="21">
        <v>315</v>
      </c>
      <c r="D147" s="21">
        <v>489.42</v>
      </c>
      <c r="E147">
        <f>C147*D147</f>
        <v>154167.30000000002</v>
      </c>
    </row>
    <row r="148" spans="1:5" ht="15" thickBot="1">
      <c r="A148" s="25" t="s">
        <v>11</v>
      </c>
      <c r="B148" s="12" t="s">
        <v>27</v>
      </c>
      <c r="C148" s="12">
        <v>279</v>
      </c>
      <c r="D148" s="12">
        <v>190.28</v>
      </c>
      <c r="E148">
        <f>C148*D148</f>
        <v>53088.12</v>
      </c>
    </row>
    <row r="149" spans="1:5" ht="15" thickBot="1">
      <c r="A149" s="24" t="s">
        <v>11</v>
      </c>
      <c r="B149" s="21" t="s">
        <v>23</v>
      </c>
      <c r="C149" s="21">
        <v>201</v>
      </c>
      <c r="D149" s="21">
        <v>13.67</v>
      </c>
      <c r="E149">
        <f>C149*D149</f>
        <v>2747.67</v>
      </c>
    </row>
    <row r="150" spans="1:5" ht="15" thickBot="1">
      <c r="A150" s="25" t="s">
        <v>11</v>
      </c>
      <c r="B150" s="12" t="s">
        <v>23</v>
      </c>
      <c r="C150" s="12">
        <v>184</v>
      </c>
      <c r="D150" s="12">
        <v>125.85</v>
      </c>
      <c r="E150">
        <f>C150*D150</f>
        <v>23156.399999999998</v>
      </c>
    </row>
    <row r="151" spans="1:5" ht="15" thickBot="1">
      <c r="A151" s="24" t="s">
        <v>22</v>
      </c>
      <c r="B151" s="21" t="s">
        <v>19</v>
      </c>
      <c r="C151" s="21">
        <v>294</v>
      </c>
      <c r="D151" s="21">
        <v>416.28</v>
      </c>
      <c r="E151">
        <f>C151*D151</f>
        <v>122386.31999999999</v>
      </c>
    </row>
    <row r="152" spans="1:5" ht="15" thickBot="1">
      <c r="A152" s="25" t="s">
        <v>17</v>
      </c>
      <c r="B152" s="12" t="s">
        <v>27</v>
      </c>
      <c r="C152" s="12">
        <v>213</v>
      </c>
      <c r="D152" s="12">
        <v>432.98</v>
      </c>
      <c r="E152">
        <f>C152*D152</f>
        <v>92224.74</v>
      </c>
    </row>
    <row r="153" spans="1:5" ht="15" thickBot="1">
      <c r="A153" s="24" t="s">
        <v>11</v>
      </c>
      <c r="B153" s="21" t="s">
        <v>27</v>
      </c>
      <c r="C153" s="21">
        <v>173</v>
      </c>
      <c r="D153" s="21">
        <v>385.42</v>
      </c>
      <c r="E153">
        <f>C153*D153</f>
        <v>66677.66</v>
      </c>
    </row>
    <row r="154" spans="1:5" ht="15" thickBot="1">
      <c r="A154" s="25" t="s">
        <v>11</v>
      </c>
      <c r="B154" s="12" t="s">
        <v>27</v>
      </c>
      <c r="C154" s="12">
        <v>260</v>
      </c>
      <c r="D154" s="12">
        <v>60.99</v>
      </c>
      <c r="E154">
        <f>C154*D154</f>
        <v>15857.4</v>
      </c>
    </row>
    <row r="155" spans="1:5" ht="15" thickBot="1">
      <c r="A155" s="24" t="s">
        <v>22</v>
      </c>
      <c r="B155" s="21" t="s">
        <v>27</v>
      </c>
      <c r="C155" s="21">
        <v>236</v>
      </c>
      <c r="D155" s="21">
        <v>398.78</v>
      </c>
      <c r="E155">
        <f>C155*D155</f>
        <v>94112.079999999987</v>
      </c>
    </row>
    <row r="156" spans="1:5" ht="15" thickBot="1">
      <c r="A156" s="25" t="s">
        <v>11</v>
      </c>
      <c r="B156" s="12" t="s">
        <v>23</v>
      </c>
      <c r="C156" s="12">
        <v>445</v>
      </c>
      <c r="D156" s="12">
        <v>459.75</v>
      </c>
      <c r="E156">
        <f>C156*D156</f>
        <v>204588.75</v>
      </c>
    </row>
    <row r="157" spans="1:5" ht="15" thickBot="1">
      <c r="A157" s="24" t="s">
        <v>22</v>
      </c>
      <c r="B157" s="21" t="s">
        <v>23</v>
      </c>
      <c r="C157" s="21">
        <v>390</v>
      </c>
      <c r="D157" s="21">
        <v>302.3</v>
      </c>
      <c r="E157">
        <f>C157*D157</f>
        <v>117897</v>
      </c>
    </row>
    <row r="158" spans="1:5" ht="15" thickBot="1">
      <c r="A158" s="25" t="s">
        <v>48</v>
      </c>
      <c r="B158" s="12" t="s">
        <v>27</v>
      </c>
      <c r="C158" s="12">
        <v>469</v>
      </c>
      <c r="D158" s="12">
        <v>470.73</v>
      </c>
      <c r="E158">
        <f>C158*D158</f>
        <v>220772.37</v>
      </c>
    </row>
    <row r="159" spans="1:5" ht="15" thickBot="1">
      <c r="A159" s="24" t="s">
        <v>11</v>
      </c>
      <c r="B159" s="21" t="s">
        <v>19</v>
      </c>
      <c r="C159" s="21">
        <v>16</v>
      </c>
      <c r="D159" s="21"/>
      <c r="E159">
        <f>C159*D159</f>
        <v>0</v>
      </c>
    </row>
    <row r="160" spans="1:5" ht="15" thickBot="1">
      <c r="A160" s="25" t="s">
        <v>48</v>
      </c>
      <c r="B160" s="12" t="s">
        <v>42</v>
      </c>
      <c r="C160" s="12">
        <v>38</v>
      </c>
      <c r="D160" s="12">
        <v>335.15</v>
      </c>
      <c r="E160">
        <f>C160*D160</f>
        <v>12735.699999999999</v>
      </c>
    </row>
    <row r="161" spans="1:5" ht="15" thickBot="1">
      <c r="A161" s="24" t="s">
        <v>22</v>
      </c>
      <c r="B161" s="21"/>
      <c r="C161" s="21">
        <v>404</v>
      </c>
      <c r="D161" s="21">
        <v>290.70999999999998</v>
      </c>
      <c r="E161">
        <f>C161*D161</f>
        <v>117446.84</v>
      </c>
    </row>
    <row r="162" spans="1:5" ht="15" thickBot="1">
      <c r="A162" s="25" t="s">
        <v>17</v>
      </c>
      <c r="B162" s="12" t="s">
        <v>19</v>
      </c>
      <c r="C162" s="12">
        <v>42</v>
      </c>
      <c r="D162" s="12">
        <v>177.54</v>
      </c>
      <c r="E162">
        <f>C162*D162</f>
        <v>7456.6799999999994</v>
      </c>
    </row>
    <row r="163" spans="1:5" ht="15" thickBot="1">
      <c r="A163" s="24" t="s">
        <v>11</v>
      </c>
      <c r="B163" s="21" t="s">
        <v>27</v>
      </c>
      <c r="C163" s="21">
        <v>143</v>
      </c>
      <c r="D163" s="21">
        <v>83.85</v>
      </c>
      <c r="E163">
        <f>C163*D163</f>
        <v>11990.55</v>
      </c>
    </row>
    <row r="164" spans="1:5" ht="15" thickBot="1">
      <c r="A164" s="25" t="s">
        <v>22</v>
      </c>
      <c r="B164" s="12" t="s">
        <v>23</v>
      </c>
      <c r="C164" s="12">
        <v>376</v>
      </c>
      <c r="D164" s="12">
        <v>304.45</v>
      </c>
      <c r="E164">
        <f>C164*D164</f>
        <v>114473.2</v>
      </c>
    </row>
    <row r="165" spans="1:5" ht="15" thickBot="1">
      <c r="A165" s="24" t="s">
        <v>17</v>
      </c>
      <c r="B165" s="21" t="s">
        <v>42</v>
      </c>
      <c r="C165" s="21">
        <v>88</v>
      </c>
      <c r="D165" s="21">
        <v>162.47</v>
      </c>
      <c r="E165">
        <f>C165*D165</f>
        <v>14297.36</v>
      </c>
    </row>
    <row r="166" spans="1:5" ht="15" thickBot="1">
      <c r="A166" s="25" t="s">
        <v>17</v>
      </c>
      <c r="B166" s="12" t="s">
        <v>13</v>
      </c>
      <c r="C166" s="12">
        <v>425</v>
      </c>
      <c r="D166" s="12">
        <v>433.89</v>
      </c>
      <c r="E166">
        <f>C166*D166</f>
        <v>184403.25</v>
      </c>
    </row>
    <row r="167" spans="1:5" ht="15" thickBot="1">
      <c r="A167" s="24" t="s">
        <v>48</v>
      </c>
      <c r="B167" s="21" t="s">
        <v>13</v>
      </c>
      <c r="C167" s="21">
        <v>444</v>
      </c>
      <c r="D167" s="21">
        <v>496.7</v>
      </c>
      <c r="E167">
        <f>C167*D167</f>
        <v>220534.8</v>
      </c>
    </row>
    <row r="168" spans="1:5" ht="15" thickBot="1">
      <c r="A168" s="25" t="s">
        <v>22</v>
      </c>
      <c r="B168" s="12" t="s">
        <v>19</v>
      </c>
      <c r="C168" s="12">
        <v>468</v>
      </c>
      <c r="D168" s="12">
        <v>377.45</v>
      </c>
      <c r="E168">
        <f>C168*D168</f>
        <v>176646.6</v>
      </c>
    </row>
    <row r="169" spans="1:5" ht="15" thickBot="1">
      <c r="A169" s="24" t="s">
        <v>17</v>
      </c>
      <c r="B169" s="21" t="s">
        <v>27</v>
      </c>
      <c r="C169" s="21">
        <v>67</v>
      </c>
      <c r="D169" s="21">
        <v>49.79</v>
      </c>
      <c r="E169">
        <f>C169*D169</f>
        <v>3335.93</v>
      </c>
    </row>
    <row r="170" spans="1:5" ht="15" thickBot="1">
      <c r="A170" s="25" t="s">
        <v>11</v>
      </c>
      <c r="B170" s="12" t="s">
        <v>42</v>
      </c>
      <c r="C170" s="12">
        <v>480</v>
      </c>
      <c r="D170" s="12">
        <v>147.9</v>
      </c>
      <c r="E170">
        <f>C170*D170</f>
        <v>70992</v>
      </c>
    </row>
    <row r="171" spans="1:5" ht="15" thickBot="1">
      <c r="A171" s="24" t="s">
        <v>11</v>
      </c>
      <c r="B171" s="21" t="s">
        <v>27</v>
      </c>
      <c r="C171" s="21">
        <v>35</v>
      </c>
      <c r="D171" s="21">
        <v>59.01</v>
      </c>
      <c r="E171">
        <f>C171*D171</f>
        <v>2065.35</v>
      </c>
    </row>
    <row r="172" spans="1:5" ht="15" thickBot="1">
      <c r="A172" s="25" t="s">
        <v>48</v>
      </c>
      <c r="B172" s="12" t="s">
        <v>42</v>
      </c>
      <c r="C172" s="12">
        <v>491</v>
      </c>
      <c r="D172" s="12">
        <v>327</v>
      </c>
      <c r="E172">
        <f>C172*D172</f>
        <v>160557</v>
      </c>
    </row>
    <row r="173" spans="1:5" ht="15" thickBot="1">
      <c r="A173" s="24" t="s">
        <v>17</v>
      </c>
      <c r="B173" s="21" t="s">
        <v>19</v>
      </c>
      <c r="C173" s="21">
        <v>439</v>
      </c>
      <c r="D173" s="21">
        <v>383.77</v>
      </c>
      <c r="E173">
        <f>C173*D173</f>
        <v>168475.03</v>
      </c>
    </row>
    <row r="174" spans="1:5" ht="15" thickBot="1">
      <c r="A174" s="25" t="s">
        <v>22</v>
      </c>
      <c r="B174" s="12" t="s">
        <v>19</v>
      </c>
      <c r="C174" s="12">
        <v>235</v>
      </c>
      <c r="D174" s="12">
        <v>463.21</v>
      </c>
      <c r="E174">
        <f>C174*D174</f>
        <v>108854.34999999999</v>
      </c>
    </row>
    <row r="175" spans="1:5" ht="15" thickBot="1">
      <c r="A175" s="24" t="s">
        <v>11</v>
      </c>
      <c r="B175" s="21" t="s">
        <v>13</v>
      </c>
      <c r="C175" s="21">
        <v>294</v>
      </c>
      <c r="D175" s="21">
        <v>221.9</v>
      </c>
      <c r="E175">
        <f>C175*D175</f>
        <v>65238.6</v>
      </c>
    </row>
    <row r="176" spans="1:5" ht="15" thickBot="1">
      <c r="A176" s="25" t="s">
        <v>17</v>
      </c>
      <c r="B176" s="12" t="s">
        <v>27</v>
      </c>
      <c r="C176" s="12">
        <v>13</v>
      </c>
      <c r="D176" s="12">
        <v>451.18</v>
      </c>
      <c r="E176">
        <f>C176*D176</f>
        <v>5865.34</v>
      </c>
    </row>
    <row r="177" spans="1:5" ht="15" thickBot="1">
      <c r="A177" s="24" t="s">
        <v>17</v>
      </c>
      <c r="B177" s="21" t="s">
        <v>13</v>
      </c>
      <c r="C177" s="21">
        <v>474</v>
      </c>
      <c r="D177" s="21">
        <v>439.56</v>
      </c>
      <c r="E177">
        <f>C177*D177</f>
        <v>208351.44</v>
      </c>
    </row>
    <row r="178" spans="1:5" ht="15" thickBot="1">
      <c r="A178" s="25" t="s">
        <v>48</v>
      </c>
      <c r="B178" s="12" t="s">
        <v>27</v>
      </c>
      <c r="C178" s="12">
        <v>108</v>
      </c>
      <c r="D178" s="12">
        <v>162.01</v>
      </c>
      <c r="E178">
        <f>C178*D178</f>
        <v>17497.079999999998</v>
      </c>
    </row>
    <row r="179" spans="1:5" ht="15" thickBot="1">
      <c r="A179" s="24" t="s">
        <v>11</v>
      </c>
      <c r="B179" s="21" t="s">
        <v>13</v>
      </c>
      <c r="C179" s="21">
        <v>406</v>
      </c>
      <c r="D179" s="21">
        <v>435.11</v>
      </c>
      <c r="E179">
        <f>C179*D179</f>
        <v>176654.66</v>
      </c>
    </row>
    <row r="180" spans="1:5" ht="15" thickBot="1">
      <c r="A180" s="25" t="s">
        <v>11</v>
      </c>
      <c r="B180" s="12" t="s">
        <v>23</v>
      </c>
      <c r="C180" s="12">
        <v>498</v>
      </c>
      <c r="D180" s="12">
        <v>190.96</v>
      </c>
      <c r="E180">
        <f>C180*D180</f>
        <v>95098.08</v>
      </c>
    </row>
    <row r="181" spans="1:5" ht="15" thickBot="1">
      <c r="A181" s="24" t="s">
        <v>22</v>
      </c>
      <c r="B181" s="21" t="s">
        <v>23</v>
      </c>
      <c r="C181" s="21">
        <v>48</v>
      </c>
      <c r="D181" s="21">
        <v>151.94999999999999</v>
      </c>
      <c r="E181">
        <f>C181*D181</f>
        <v>7293.5999999999995</v>
      </c>
    </row>
    <row r="182" spans="1:5" ht="15" thickBot="1">
      <c r="A182" s="25" t="s">
        <v>11</v>
      </c>
      <c r="B182" s="12" t="s">
        <v>23</v>
      </c>
      <c r="C182" s="12">
        <v>280</v>
      </c>
      <c r="D182" s="12">
        <v>326.29000000000002</v>
      </c>
      <c r="E182">
        <f>C182*D182</f>
        <v>91361.200000000012</v>
      </c>
    </row>
    <row r="183" spans="1:5" ht="15" thickBot="1">
      <c r="A183" s="24" t="s">
        <v>22</v>
      </c>
      <c r="B183" s="21" t="s">
        <v>23</v>
      </c>
      <c r="C183" s="21">
        <v>384</v>
      </c>
      <c r="D183" s="21">
        <v>167.55</v>
      </c>
      <c r="E183">
        <f>C183*D183</f>
        <v>64339.200000000004</v>
      </c>
    </row>
    <row r="184" spans="1:5" ht="15" thickBot="1">
      <c r="A184" s="25" t="s">
        <v>11</v>
      </c>
      <c r="B184" s="12" t="s">
        <v>42</v>
      </c>
      <c r="C184" s="12">
        <v>294</v>
      </c>
      <c r="D184" s="12">
        <v>316.95</v>
      </c>
      <c r="E184">
        <f>C184*D184</f>
        <v>93183.3</v>
      </c>
    </row>
    <row r="185" spans="1:5" ht="15" thickBot="1">
      <c r="A185" s="24" t="s">
        <v>48</v>
      </c>
      <c r="B185" s="21" t="s">
        <v>23</v>
      </c>
      <c r="C185" s="21">
        <v>166</v>
      </c>
      <c r="D185" s="21">
        <v>306.87</v>
      </c>
      <c r="E185">
        <f>C185*D185</f>
        <v>50940.42</v>
      </c>
    </row>
    <row r="186" spans="1:5" ht="15" thickBot="1">
      <c r="A186" s="25" t="s">
        <v>11</v>
      </c>
      <c r="B186" s="12" t="s">
        <v>19</v>
      </c>
      <c r="C186" s="12">
        <v>84</v>
      </c>
      <c r="D186" s="12">
        <v>283.89999999999998</v>
      </c>
      <c r="E186">
        <f>C186*D186</f>
        <v>23847.599999999999</v>
      </c>
    </row>
    <row r="187" spans="1:5" ht="15" thickBot="1">
      <c r="A187" s="24" t="s">
        <v>22</v>
      </c>
      <c r="B187" s="21" t="s">
        <v>19</v>
      </c>
      <c r="C187" s="21">
        <v>381</v>
      </c>
      <c r="D187" s="21">
        <v>193.31</v>
      </c>
      <c r="E187">
        <f>C187*D187</f>
        <v>73651.11</v>
      </c>
    </row>
    <row r="188" spans="1:5" ht="15" thickBot="1">
      <c r="A188" s="25" t="s">
        <v>22</v>
      </c>
      <c r="B188" s="12" t="s">
        <v>42</v>
      </c>
      <c r="C188" s="12">
        <v>297</v>
      </c>
      <c r="D188" s="12">
        <v>276.51</v>
      </c>
      <c r="E188">
        <f>C188*D188</f>
        <v>82123.47</v>
      </c>
    </row>
    <row r="189" spans="1:5" ht="15" thickBot="1">
      <c r="A189" s="24" t="s">
        <v>48</v>
      </c>
      <c r="B189" s="21" t="s">
        <v>23</v>
      </c>
      <c r="C189" s="21">
        <v>139</v>
      </c>
      <c r="D189" s="21">
        <v>300.26</v>
      </c>
      <c r="E189">
        <f>C189*D189</f>
        <v>41736.14</v>
      </c>
    </row>
    <row r="190" spans="1:5" ht="15" thickBot="1">
      <c r="A190" s="25" t="s">
        <v>11</v>
      </c>
      <c r="B190" s="12" t="s">
        <v>23</v>
      </c>
      <c r="C190" s="12">
        <v>184</v>
      </c>
      <c r="D190" s="12">
        <v>275.12</v>
      </c>
      <c r="E190">
        <f>C190*D190</f>
        <v>50622.080000000002</v>
      </c>
    </row>
    <row r="191" spans="1:5" ht="15" thickBot="1">
      <c r="A191" s="24" t="s">
        <v>11</v>
      </c>
      <c r="B191" s="21" t="s">
        <v>23</v>
      </c>
      <c r="C191" s="21">
        <v>471</v>
      </c>
      <c r="D191" s="21">
        <v>224.99</v>
      </c>
      <c r="E191">
        <f>C191*D191</f>
        <v>105970.29000000001</v>
      </c>
    </row>
    <row r="192" spans="1:5" ht="15" thickBot="1">
      <c r="A192" s="25" t="s">
        <v>48</v>
      </c>
      <c r="B192" s="12" t="s">
        <v>13</v>
      </c>
      <c r="C192" s="12">
        <v>93</v>
      </c>
      <c r="D192" s="12">
        <v>12.26</v>
      </c>
      <c r="E192">
        <f>C192*D192</f>
        <v>1140.18</v>
      </c>
    </row>
    <row r="193" spans="1:5" ht="15" thickBot="1">
      <c r="A193" s="24" t="s">
        <v>11</v>
      </c>
      <c r="B193" s="21" t="s">
        <v>27</v>
      </c>
      <c r="C193" s="21">
        <v>31</v>
      </c>
      <c r="D193" s="21">
        <v>295.60000000000002</v>
      </c>
      <c r="E193">
        <f>C193*D193</f>
        <v>9163.6</v>
      </c>
    </row>
    <row r="194" spans="1:5" ht="15" thickBot="1">
      <c r="A194" s="25" t="s">
        <v>11</v>
      </c>
      <c r="B194" s="12" t="s">
        <v>13</v>
      </c>
      <c r="C194" s="12">
        <v>468</v>
      </c>
      <c r="D194" s="12">
        <v>88.38</v>
      </c>
      <c r="E194">
        <f>C194*D194</f>
        <v>41361.839999999997</v>
      </c>
    </row>
    <row r="195" spans="1:5" ht="15" thickBot="1">
      <c r="A195" s="24" t="s">
        <v>22</v>
      </c>
      <c r="B195" s="21" t="s">
        <v>27</v>
      </c>
      <c r="C195" s="21">
        <v>36</v>
      </c>
      <c r="D195" s="21">
        <v>323.08</v>
      </c>
      <c r="E195">
        <f>C195*D195</f>
        <v>11630.88</v>
      </c>
    </row>
    <row r="196" spans="1:5" ht="15" thickBot="1">
      <c r="A196" s="25" t="s">
        <v>11</v>
      </c>
      <c r="B196" s="12" t="s">
        <v>23</v>
      </c>
      <c r="C196" s="12">
        <v>204</v>
      </c>
      <c r="D196" s="12">
        <v>380.88</v>
      </c>
      <c r="E196">
        <f>C196*D196</f>
        <v>77699.520000000004</v>
      </c>
    </row>
    <row r="197" spans="1:5" ht="15" thickBot="1">
      <c r="A197" s="24" t="s">
        <v>11</v>
      </c>
      <c r="B197" s="21" t="s">
        <v>23</v>
      </c>
      <c r="C197" s="21">
        <v>346</v>
      </c>
      <c r="D197" s="21">
        <v>252.72</v>
      </c>
      <c r="E197">
        <f>C197*D197</f>
        <v>87441.12</v>
      </c>
    </row>
    <row r="198" spans="1:5" ht="15" thickBot="1">
      <c r="A198" s="25" t="s">
        <v>48</v>
      </c>
      <c r="B198" s="12" t="s">
        <v>13</v>
      </c>
      <c r="C198" s="12">
        <v>391</v>
      </c>
      <c r="D198" s="12">
        <v>273.47000000000003</v>
      </c>
      <c r="E198">
        <f>C198*D198</f>
        <v>106926.77</v>
      </c>
    </row>
    <row r="199" spans="1:5" ht="15" thickBot="1">
      <c r="A199" s="24" t="s">
        <v>48</v>
      </c>
      <c r="B199" s="21" t="s">
        <v>13</v>
      </c>
      <c r="C199" s="21">
        <v>245</v>
      </c>
      <c r="D199" s="21">
        <v>475.98</v>
      </c>
      <c r="E199">
        <f>C199*D199</f>
        <v>116615.1</v>
      </c>
    </row>
    <row r="200" spans="1:5" ht="15" thickBot="1">
      <c r="A200" s="25" t="s">
        <v>17</v>
      </c>
      <c r="B200" s="12" t="s">
        <v>27</v>
      </c>
      <c r="C200" s="12">
        <v>449</v>
      </c>
      <c r="D200" s="12">
        <v>424.35</v>
      </c>
      <c r="E200">
        <f>C200*D200</f>
        <v>190533.15000000002</v>
      </c>
    </row>
    <row r="201" spans="1:5" ht="15" thickBot="1">
      <c r="A201" s="24" t="s">
        <v>22</v>
      </c>
      <c r="B201" s="21" t="s">
        <v>19</v>
      </c>
      <c r="C201" s="21">
        <v>101</v>
      </c>
      <c r="D201" s="21">
        <v>457.55</v>
      </c>
      <c r="E201">
        <f>C201*D201</f>
        <v>46212.55</v>
      </c>
    </row>
    <row r="202" spans="1:5" ht="15" thickBot="1">
      <c r="A202" s="25" t="s">
        <v>11</v>
      </c>
      <c r="B202" s="12" t="s">
        <v>27</v>
      </c>
      <c r="C202" s="12"/>
      <c r="D202" s="12">
        <v>407.81</v>
      </c>
      <c r="E202">
        <f>C202*D202</f>
        <v>0</v>
      </c>
    </row>
    <row r="203" spans="1:5" ht="15" thickBot="1">
      <c r="A203" s="24" t="s">
        <v>11</v>
      </c>
      <c r="B203" s="21" t="s">
        <v>13</v>
      </c>
      <c r="C203" s="21">
        <v>30</v>
      </c>
      <c r="D203" s="21">
        <v>58.91</v>
      </c>
      <c r="E203">
        <f>C203*D203</f>
        <v>1767.3</v>
      </c>
    </row>
    <row r="204" spans="1:5" ht="15" thickBot="1">
      <c r="A204" s="25" t="s">
        <v>17</v>
      </c>
      <c r="B204" s="12" t="s">
        <v>13</v>
      </c>
      <c r="C204" s="12">
        <v>312</v>
      </c>
      <c r="D204" s="12">
        <v>78.75</v>
      </c>
      <c r="E204">
        <f>C204*D204</f>
        <v>24570</v>
      </c>
    </row>
    <row r="205" spans="1:5" ht="15" thickBot="1">
      <c r="A205" s="24" t="s">
        <v>11</v>
      </c>
      <c r="B205" s="21" t="s">
        <v>42</v>
      </c>
      <c r="C205" s="21">
        <v>473</v>
      </c>
      <c r="D205" s="21">
        <v>265.68</v>
      </c>
      <c r="E205">
        <f>C205*D205</f>
        <v>125666.64</v>
      </c>
    </row>
    <row r="206" spans="1:5" ht="15" thickBot="1">
      <c r="A206" s="25" t="s">
        <v>22</v>
      </c>
      <c r="B206" s="12" t="s">
        <v>13</v>
      </c>
      <c r="C206" s="12">
        <v>366</v>
      </c>
      <c r="D206" s="12">
        <v>126.8</v>
      </c>
      <c r="E206">
        <f>C206*D206</f>
        <v>46408.799999999996</v>
      </c>
    </row>
    <row r="207" spans="1:5" ht="15" thickBot="1">
      <c r="A207" s="24" t="s">
        <v>17</v>
      </c>
      <c r="B207" s="21" t="s">
        <v>42</v>
      </c>
      <c r="C207" s="21">
        <v>452</v>
      </c>
      <c r="D207" s="21">
        <v>240.96</v>
      </c>
      <c r="E207">
        <f>C207*D207</f>
        <v>108913.92</v>
      </c>
    </row>
    <row r="208" spans="1:5" ht="15" thickBot="1">
      <c r="A208" s="25" t="s">
        <v>22</v>
      </c>
      <c r="B208" s="12" t="s">
        <v>19</v>
      </c>
      <c r="C208" s="12">
        <v>93</v>
      </c>
      <c r="D208" s="12">
        <v>200.21</v>
      </c>
      <c r="E208">
        <f>C208*D208</f>
        <v>18619.530000000002</v>
      </c>
    </row>
    <row r="209" spans="1:5" ht="15" thickBot="1">
      <c r="A209" s="24" t="s">
        <v>17</v>
      </c>
      <c r="B209" s="21" t="s">
        <v>27</v>
      </c>
      <c r="C209" s="21">
        <v>271</v>
      </c>
      <c r="D209" s="21">
        <v>276.95999999999998</v>
      </c>
      <c r="E209">
        <f>C209*D209</f>
        <v>75056.159999999989</v>
      </c>
    </row>
    <row r="210" spans="1:5" ht="15" thickBot="1">
      <c r="A210" s="25" t="s">
        <v>17</v>
      </c>
      <c r="B210" s="12" t="s">
        <v>27</v>
      </c>
      <c r="C210" s="12">
        <v>156</v>
      </c>
      <c r="D210" s="12">
        <v>374.7</v>
      </c>
      <c r="E210">
        <f>C210*D210</f>
        <v>58453.2</v>
      </c>
    </row>
    <row r="211" spans="1:5" ht="15" thickBot="1">
      <c r="A211" s="24" t="s">
        <v>48</v>
      </c>
      <c r="B211" s="21" t="s">
        <v>42</v>
      </c>
      <c r="C211" s="21">
        <v>450</v>
      </c>
      <c r="D211" s="21">
        <v>359.17</v>
      </c>
      <c r="E211">
        <f>C211*D211</f>
        <v>161626.5</v>
      </c>
    </row>
    <row r="212" spans="1:5" ht="15" thickBot="1">
      <c r="A212" s="25" t="s">
        <v>22</v>
      </c>
      <c r="B212" s="12" t="s">
        <v>27</v>
      </c>
      <c r="C212" s="12">
        <v>462</v>
      </c>
      <c r="D212" s="12">
        <v>263.01</v>
      </c>
      <c r="E212">
        <f>C212*D212</f>
        <v>121510.62</v>
      </c>
    </row>
    <row r="213" spans="1:5" ht="15" thickBot="1">
      <c r="A213" s="24" t="s">
        <v>11</v>
      </c>
      <c r="B213" s="21"/>
      <c r="C213" s="21">
        <v>396</v>
      </c>
      <c r="D213" s="21">
        <v>412.08</v>
      </c>
      <c r="E213">
        <f>C213*D213</f>
        <v>163183.67999999999</v>
      </c>
    </row>
    <row r="214" spans="1:5" ht="15" thickBot="1">
      <c r="A214" s="25" t="s">
        <v>11</v>
      </c>
      <c r="B214" s="12" t="s">
        <v>23</v>
      </c>
      <c r="C214" s="12">
        <v>266</v>
      </c>
      <c r="D214" s="12">
        <v>218.28</v>
      </c>
      <c r="E214">
        <f>C214*D214</f>
        <v>58062.48</v>
      </c>
    </row>
    <row r="215" spans="1:5" ht="15" thickBot="1">
      <c r="A215" s="24" t="s">
        <v>22</v>
      </c>
      <c r="B215" s="21" t="s">
        <v>42</v>
      </c>
      <c r="C215" s="21">
        <v>67</v>
      </c>
      <c r="D215" s="21">
        <v>448.87</v>
      </c>
      <c r="E215">
        <f>C215*D215</f>
        <v>30074.29</v>
      </c>
    </row>
    <row r="216" spans="1:5" ht="15" thickBot="1">
      <c r="A216" s="25" t="s">
        <v>11</v>
      </c>
      <c r="B216" s="12" t="s">
        <v>27</v>
      </c>
      <c r="C216" s="12">
        <v>389</v>
      </c>
      <c r="D216" s="12">
        <v>40.28</v>
      </c>
      <c r="E216">
        <f>C216*D216</f>
        <v>15668.92</v>
      </c>
    </row>
    <row r="217" spans="1:5" ht="15" thickBot="1">
      <c r="A217" s="24" t="s">
        <v>11</v>
      </c>
      <c r="B217" s="21" t="s">
        <v>42</v>
      </c>
      <c r="C217" s="21">
        <v>431</v>
      </c>
      <c r="D217" s="21">
        <v>477.56</v>
      </c>
      <c r="E217">
        <f>C217*D217</f>
        <v>205828.36000000002</v>
      </c>
    </row>
    <row r="218" spans="1:5" ht="15" thickBot="1">
      <c r="A218" s="25" t="s">
        <v>22</v>
      </c>
      <c r="B218" s="12" t="s">
        <v>42</v>
      </c>
      <c r="C218" s="12">
        <v>24</v>
      </c>
      <c r="D218" s="12">
        <v>329.07</v>
      </c>
      <c r="E218">
        <f>C218*D218</f>
        <v>7897.68</v>
      </c>
    </row>
    <row r="219" spans="1:5" ht="15" thickBot="1">
      <c r="A219" s="24" t="s">
        <v>17</v>
      </c>
      <c r="B219" s="21" t="s">
        <v>23</v>
      </c>
      <c r="C219" s="21">
        <v>171</v>
      </c>
      <c r="D219" s="21">
        <v>193.14</v>
      </c>
      <c r="E219">
        <f>C219*D219</f>
        <v>33026.939999999995</v>
      </c>
    </row>
    <row r="220" spans="1:5" ht="15" thickBot="1">
      <c r="A220" s="25" t="s">
        <v>22</v>
      </c>
      <c r="B220" s="12" t="s">
        <v>13</v>
      </c>
      <c r="C220" s="12">
        <v>454</v>
      </c>
      <c r="D220" s="12">
        <v>102.59</v>
      </c>
      <c r="E220">
        <f>C220*D220</f>
        <v>46575.86</v>
      </c>
    </row>
    <row r="221" spans="1:5" ht="15" thickBot="1">
      <c r="A221" s="24" t="s">
        <v>17</v>
      </c>
      <c r="B221" s="21" t="s">
        <v>42</v>
      </c>
      <c r="C221" s="21">
        <v>172</v>
      </c>
      <c r="D221" s="21">
        <v>242.2</v>
      </c>
      <c r="E221">
        <f>C221*D221</f>
        <v>41658.400000000001</v>
      </c>
    </row>
    <row r="222" spans="1:5" ht="15" thickBot="1">
      <c r="A222" s="25" t="s">
        <v>11</v>
      </c>
      <c r="B222" s="12" t="s">
        <v>27</v>
      </c>
      <c r="C222" s="12">
        <v>329</v>
      </c>
      <c r="D222" s="12">
        <v>101.31</v>
      </c>
      <c r="E222">
        <f>C222*D222</f>
        <v>33330.99</v>
      </c>
    </row>
    <row r="223" spans="1:5" ht="15" thickBot="1">
      <c r="A223" s="24" t="s">
        <v>11</v>
      </c>
      <c r="B223" s="21" t="s">
        <v>19</v>
      </c>
      <c r="C223" s="21">
        <v>290</v>
      </c>
      <c r="D223" s="21">
        <v>87.33</v>
      </c>
      <c r="E223">
        <f>C223*D223</f>
        <v>25325.7</v>
      </c>
    </row>
    <row r="224" spans="1:5" ht="15" thickBot="1">
      <c r="A224" s="25"/>
      <c r="B224" s="12" t="s">
        <v>42</v>
      </c>
      <c r="C224" s="12">
        <v>289</v>
      </c>
      <c r="D224" s="12">
        <v>310.58999999999997</v>
      </c>
      <c r="E224">
        <f>C224*D224</f>
        <v>89760.51</v>
      </c>
    </row>
    <row r="225" spans="1:5" ht="15" thickBot="1">
      <c r="A225" s="24" t="s">
        <v>48</v>
      </c>
      <c r="B225" s="21" t="s">
        <v>42</v>
      </c>
      <c r="C225" s="21">
        <v>21</v>
      </c>
      <c r="D225" s="21">
        <v>263.93</v>
      </c>
      <c r="E225">
        <f>C225*D225</f>
        <v>5542.53</v>
      </c>
    </row>
    <row r="226" spans="1:5" ht="15" thickBot="1">
      <c r="A226" s="25" t="s">
        <v>17</v>
      </c>
      <c r="B226" s="12" t="s">
        <v>23</v>
      </c>
      <c r="C226" s="12">
        <v>283</v>
      </c>
      <c r="D226" s="12">
        <v>336.7</v>
      </c>
      <c r="E226">
        <f>C226*D226</f>
        <v>95286.099999999991</v>
      </c>
    </row>
    <row r="227" spans="1:5" ht="15" thickBot="1">
      <c r="A227" s="24" t="s">
        <v>48</v>
      </c>
      <c r="B227" s="21" t="s">
        <v>13</v>
      </c>
      <c r="C227" s="21">
        <v>280</v>
      </c>
      <c r="D227" s="21">
        <v>465.15</v>
      </c>
      <c r="E227">
        <f>C227*D227</f>
        <v>130242</v>
      </c>
    </row>
    <row r="228" spans="1:5" ht="15" thickBot="1">
      <c r="A228" s="25" t="s">
        <v>48</v>
      </c>
      <c r="B228" s="12" t="s">
        <v>19</v>
      </c>
      <c r="C228" s="12">
        <v>217</v>
      </c>
      <c r="D228" s="12">
        <v>268.47000000000003</v>
      </c>
      <c r="E228">
        <f>C228*D228</f>
        <v>58257.990000000005</v>
      </c>
    </row>
    <row r="229" spans="1:5" ht="15" thickBot="1">
      <c r="A229" s="24" t="s">
        <v>22</v>
      </c>
      <c r="B229" s="21" t="s">
        <v>27</v>
      </c>
      <c r="C229" s="21">
        <v>36</v>
      </c>
      <c r="D229" s="21">
        <v>292.56</v>
      </c>
      <c r="E229">
        <f>C229*D229</f>
        <v>10532.16</v>
      </c>
    </row>
    <row r="230" spans="1:5" ht="15" thickBot="1">
      <c r="A230" s="25" t="s">
        <v>48</v>
      </c>
      <c r="B230" s="12" t="s">
        <v>19</v>
      </c>
      <c r="C230" s="12"/>
      <c r="D230" s="12">
        <v>49.37</v>
      </c>
      <c r="E230">
        <f>C230*D230</f>
        <v>0</v>
      </c>
    </row>
    <row r="231" spans="1:5" ht="15" thickBot="1">
      <c r="A231" s="24" t="s">
        <v>22</v>
      </c>
      <c r="B231" s="21" t="s">
        <v>27</v>
      </c>
      <c r="C231" s="21">
        <v>69</v>
      </c>
      <c r="D231" s="21">
        <v>360.23</v>
      </c>
      <c r="E231">
        <f>C231*D231</f>
        <v>24855.870000000003</v>
      </c>
    </row>
    <row r="232" spans="1:5" ht="15" thickBot="1">
      <c r="A232" s="25" t="s">
        <v>22</v>
      </c>
      <c r="B232" s="12" t="s">
        <v>13</v>
      </c>
      <c r="C232" s="12">
        <v>439</v>
      </c>
      <c r="D232" s="12">
        <v>202.95</v>
      </c>
      <c r="E232">
        <f>C232*D232</f>
        <v>89095.049999999988</v>
      </c>
    </row>
    <row r="233" spans="1:5" ht="15" thickBot="1">
      <c r="A233" s="24" t="s">
        <v>48</v>
      </c>
      <c r="B233" s="21" t="s">
        <v>27</v>
      </c>
      <c r="C233" s="21">
        <v>482</v>
      </c>
      <c r="D233" s="21">
        <v>488.48</v>
      </c>
      <c r="E233">
        <f>C233*D233</f>
        <v>235447.36000000002</v>
      </c>
    </row>
    <row r="234" spans="1:5" ht="15" thickBot="1">
      <c r="A234" s="25" t="s">
        <v>17</v>
      </c>
      <c r="B234" s="12" t="s">
        <v>23</v>
      </c>
      <c r="C234" s="12">
        <v>154</v>
      </c>
      <c r="D234" s="12">
        <v>412.47</v>
      </c>
      <c r="E234">
        <f>C234*D234</f>
        <v>63520.380000000005</v>
      </c>
    </row>
    <row r="235" spans="1:5" ht="15" thickBot="1">
      <c r="A235" s="24" t="s">
        <v>17</v>
      </c>
      <c r="B235" s="21" t="s">
        <v>23</v>
      </c>
      <c r="C235" s="21">
        <v>102</v>
      </c>
      <c r="D235" s="21">
        <v>263.63</v>
      </c>
      <c r="E235">
        <f>C235*D235</f>
        <v>26890.26</v>
      </c>
    </row>
    <row r="236" spans="1:5" ht="15" thickBot="1">
      <c r="A236" s="25" t="s">
        <v>17</v>
      </c>
      <c r="B236" s="12" t="s">
        <v>23</v>
      </c>
      <c r="C236" s="12">
        <v>318</v>
      </c>
      <c r="D236" s="12">
        <v>66</v>
      </c>
      <c r="E236">
        <f>C236*D236</f>
        <v>20988</v>
      </c>
    </row>
    <row r="237" spans="1:5" ht="15" thickBot="1">
      <c r="A237" s="24" t="s">
        <v>17</v>
      </c>
      <c r="B237" s="21" t="s">
        <v>23</v>
      </c>
      <c r="C237" s="21">
        <v>17</v>
      </c>
      <c r="D237" s="21">
        <v>430.41</v>
      </c>
      <c r="E237">
        <f>C237*D237</f>
        <v>7316.97</v>
      </c>
    </row>
    <row r="238" spans="1:5" ht="15" thickBot="1">
      <c r="A238" s="25" t="s">
        <v>17</v>
      </c>
      <c r="B238" s="12" t="s">
        <v>19</v>
      </c>
      <c r="C238" s="12">
        <v>88</v>
      </c>
      <c r="D238" s="12">
        <v>400.89</v>
      </c>
      <c r="E238">
        <f>C238*D238</f>
        <v>35278.32</v>
      </c>
    </row>
    <row r="239" spans="1:5" ht="15" thickBot="1">
      <c r="A239" s="24" t="s">
        <v>48</v>
      </c>
      <c r="B239" s="21" t="s">
        <v>13</v>
      </c>
      <c r="C239" s="21">
        <v>36</v>
      </c>
      <c r="D239" s="21">
        <v>96.37</v>
      </c>
      <c r="E239">
        <f>C239*D239</f>
        <v>3469.32</v>
      </c>
    </row>
    <row r="240" spans="1:5" ht="15" thickBot="1">
      <c r="A240" s="25" t="s">
        <v>48</v>
      </c>
      <c r="B240" s="12" t="s">
        <v>27</v>
      </c>
      <c r="C240" s="12">
        <v>183</v>
      </c>
      <c r="D240" s="12">
        <v>151.16</v>
      </c>
      <c r="E240">
        <f>C240*D240</f>
        <v>27662.28</v>
      </c>
    </row>
    <row r="241" spans="1:5" ht="15" thickBot="1">
      <c r="A241" s="24" t="s">
        <v>11</v>
      </c>
      <c r="B241" s="21" t="s">
        <v>27</v>
      </c>
      <c r="C241" s="21">
        <v>59</v>
      </c>
      <c r="D241" s="21">
        <v>397.74</v>
      </c>
      <c r="E241">
        <f>C241*D241</f>
        <v>23466.66</v>
      </c>
    </row>
    <row r="242" spans="1:5" ht="15" thickBot="1">
      <c r="A242" s="25" t="s">
        <v>17</v>
      </c>
      <c r="B242" s="12" t="s">
        <v>23</v>
      </c>
      <c r="C242" s="12">
        <v>208</v>
      </c>
      <c r="D242" s="12">
        <v>96.69</v>
      </c>
      <c r="E242">
        <f>C242*D242</f>
        <v>20111.52</v>
      </c>
    </row>
    <row r="243" spans="1:5" ht="15" thickBot="1">
      <c r="A243" s="24" t="s">
        <v>48</v>
      </c>
      <c r="B243" s="21" t="s">
        <v>23</v>
      </c>
      <c r="C243" s="21">
        <v>396</v>
      </c>
      <c r="D243" s="21">
        <v>459.29</v>
      </c>
      <c r="E243">
        <f>C243*D243</f>
        <v>181878.84</v>
      </c>
    </row>
    <row r="244" spans="1:5" ht="15" thickBot="1">
      <c r="A244" s="25" t="s">
        <v>11</v>
      </c>
      <c r="B244" s="12" t="s">
        <v>42</v>
      </c>
      <c r="C244" s="12">
        <v>358</v>
      </c>
      <c r="D244" s="12">
        <v>215.14</v>
      </c>
      <c r="E244">
        <f>C244*D244</f>
        <v>77020.12</v>
      </c>
    </row>
    <row r="245" spans="1:5" ht="15" thickBot="1">
      <c r="A245" s="24" t="s">
        <v>17</v>
      </c>
      <c r="B245" s="21" t="s">
        <v>13</v>
      </c>
      <c r="C245" s="21">
        <v>457</v>
      </c>
      <c r="D245" s="21">
        <v>48.08</v>
      </c>
      <c r="E245">
        <f>C245*D245</f>
        <v>21972.559999999998</v>
      </c>
    </row>
    <row r="246" spans="1:5" ht="15" thickBot="1">
      <c r="A246" s="25" t="s">
        <v>22</v>
      </c>
      <c r="B246" s="12" t="s">
        <v>19</v>
      </c>
      <c r="C246" s="12">
        <v>437</v>
      </c>
      <c r="D246" s="12">
        <v>408.8</v>
      </c>
      <c r="E246">
        <f>C246*D246</f>
        <v>178645.6</v>
      </c>
    </row>
    <row r="247" spans="1:5" ht="15" thickBot="1">
      <c r="A247" s="24" t="s">
        <v>11</v>
      </c>
      <c r="B247" s="21" t="s">
        <v>27</v>
      </c>
      <c r="C247" s="21">
        <v>190</v>
      </c>
      <c r="D247" s="21">
        <v>189.89</v>
      </c>
      <c r="E247">
        <f>C247*D247</f>
        <v>36079.1</v>
      </c>
    </row>
    <row r="248" spans="1:5" ht="15" thickBot="1">
      <c r="A248" s="25" t="s">
        <v>48</v>
      </c>
      <c r="B248" s="12" t="s">
        <v>42</v>
      </c>
      <c r="C248" s="12">
        <v>33</v>
      </c>
      <c r="D248" s="12">
        <v>265.62</v>
      </c>
      <c r="E248">
        <f>C248*D248</f>
        <v>8765.4600000000009</v>
      </c>
    </row>
    <row r="249" spans="1:5" ht="15" thickBot="1">
      <c r="A249" s="24" t="s">
        <v>22</v>
      </c>
      <c r="B249" s="21" t="s">
        <v>42</v>
      </c>
      <c r="C249" s="21">
        <v>325</v>
      </c>
      <c r="D249" s="21">
        <v>60.59</v>
      </c>
      <c r="E249">
        <f>C249*D249</f>
        <v>19691.75</v>
      </c>
    </row>
    <row r="250" spans="1:5" ht="15" thickBot="1">
      <c r="A250" s="25" t="s">
        <v>22</v>
      </c>
      <c r="B250" s="12" t="s">
        <v>27</v>
      </c>
      <c r="C250" s="12">
        <v>387</v>
      </c>
      <c r="D250" s="12">
        <v>6.28</v>
      </c>
      <c r="E250">
        <f>C250*D250</f>
        <v>2430.36</v>
      </c>
    </row>
    <row r="251" spans="1:5" ht="15" thickBot="1">
      <c r="A251" s="24" t="s">
        <v>22</v>
      </c>
      <c r="B251" s="21" t="s">
        <v>19</v>
      </c>
      <c r="C251" s="21">
        <v>396</v>
      </c>
      <c r="D251" s="21">
        <v>320.8</v>
      </c>
      <c r="E251">
        <f>C251*D251</f>
        <v>127036.8</v>
      </c>
    </row>
    <row r="252" spans="1:5" ht="15" thickBot="1">
      <c r="A252" s="25" t="s">
        <v>11</v>
      </c>
      <c r="B252" s="12" t="s">
        <v>42</v>
      </c>
      <c r="C252" s="12">
        <v>413</v>
      </c>
      <c r="D252" s="12">
        <v>260.01</v>
      </c>
      <c r="E252">
        <f>C252*D252</f>
        <v>107384.12999999999</v>
      </c>
    </row>
    <row r="253" spans="1:5" ht="15" thickBot="1">
      <c r="A253" s="24" t="s">
        <v>48</v>
      </c>
      <c r="B253" s="21" t="s">
        <v>42</v>
      </c>
      <c r="C253" s="21"/>
      <c r="D253" s="21">
        <v>298.8</v>
      </c>
      <c r="E253">
        <f>C253*D253</f>
        <v>0</v>
      </c>
    </row>
    <row r="254" spans="1:5" ht="15" thickBot="1">
      <c r="A254" s="25" t="s">
        <v>22</v>
      </c>
      <c r="B254" s="12" t="s">
        <v>13</v>
      </c>
      <c r="C254" s="12">
        <v>24</v>
      </c>
      <c r="D254" s="12">
        <v>397.9</v>
      </c>
      <c r="E254">
        <f>C254*D254</f>
        <v>9549.5999999999985</v>
      </c>
    </row>
    <row r="255" spans="1:5" ht="15" thickBot="1">
      <c r="A255" s="24" t="s">
        <v>17</v>
      </c>
      <c r="B255" s="21"/>
      <c r="C255" s="21">
        <v>162</v>
      </c>
      <c r="D255" s="21">
        <v>325.07</v>
      </c>
      <c r="E255">
        <f>C255*D255</f>
        <v>52661.34</v>
      </c>
    </row>
    <row r="256" spans="1:5" ht="15" thickBot="1">
      <c r="A256" s="25" t="s">
        <v>22</v>
      </c>
      <c r="B256" s="12" t="s">
        <v>42</v>
      </c>
      <c r="C256" s="12">
        <v>231</v>
      </c>
      <c r="D256" s="12">
        <v>91.51</v>
      </c>
      <c r="E256">
        <f>C256*D256</f>
        <v>21138.81</v>
      </c>
    </row>
    <row r="257" spans="1:5" ht="15" thickBot="1">
      <c r="A257" s="24" t="s">
        <v>22</v>
      </c>
      <c r="B257" s="21" t="s">
        <v>19</v>
      </c>
      <c r="C257" s="21">
        <v>215</v>
      </c>
      <c r="D257" s="21">
        <v>183.58</v>
      </c>
      <c r="E257">
        <f>C257*D257</f>
        <v>39469.700000000004</v>
      </c>
    </row>
    <row r="258" spans="1:5" ht="15" thickBot="1">
      <c r="A258" s="25" t="s">
        <v>11</v>
      </c>
      <c r="B258" s="12" t="s">
        <v>27</v>
      </c>
      <c r="C258" s="12">
        <v>464</v>
      </c>
      <c r="D258" s="12">
        <v>453.42</v>
      </c>
      <c r="E258">
        <f>C258*D258</f>
        <v>210386.88</v>
      </c>
    </row>
    <row r="259" spans="1:5" ht="15" thickBot="1">
      <c r="A259" s="24" t="s">
        <v>11</v>
      </c>
      <c r="B259" s="21" t="s">
        <v>23</v>
      </c>
      <c r="C259" s="21">
        <v>282</v>
      </c>
      <c r="D259" s="21"/>
      <c r="E259">
        <f>C259*D259</f>
        <v>0</v>
      </c>
    </row>
    <row r="260" spans="1:5" ht="15" thickBot="1">
      <c r="A260" s="25" t="s">
        <v>48</v>
      </c>
      <c r="B260" s="12" t="s">
        <v>42</v>
      </c>
      <c r="C260" s="12">
        <v>391</v>
      </c>
      <c r="D260" s="12">
        <v>280.54000000000002</v>
      </c>
      <c r="E260">
        <f>C260*D260</f>
        <v>109691.14000000001</v>
      </c>
    </row>
    <row r="261" spans="1:5" ht="15" thickBot="1">
      <c r="A261" s="24" t="s">
        <v>17</v>
      </c>
      <c r="B261" s="21" t="s">
        <v>13</v>
      </c>
      <c r="C261" s="21">
        <v>245</v>
      </c>
      <c r="D261" s="21">
        <v>131.54</v>
      </c>
      <c r="E261">
        <f>C261*D261</f>
        <v>32227.3</v>
      </c>
    </row>
    <row r="262" spans="1:5" ht="15" thickBot="1">
      <c r="A262" s="25" t="s">
        <v>11</v>
      </c>
      <c r="B262" s="12" t="s">
        <v>27</v>
      </c>
      <c r="C262" s="12">
        <v>349</v>
      </c>
      <c r="D262" s="12">
        <v>154.52000000000001</v>
      </c>
      <c r="E262">
        <f>C262*D262</f>
        <v>53927.48</v>
      </c>
    </row>
    <row r="263" spans="1:5" ht="15" thickBot="1">
      <c r="A263" s="24" t="s">
        <v>22</v>
      </c>
      <c r="B263" s="21" t="s">
        <v>19</v>
      </c>
      <c r="C263" s="21">
        <v>237</v>
      </c>
      <c r="D263" s="21"/>
      <c r="E263">
        <f>C263*D263</f>
        <v>0</v>
      </c>
    </row>
    <row r="264" spans="1:5" ht="15" thickBot="1">
      <c r="A264" s="25" t="s">
        <v>48</v>
      </c>
      <c r="B264" s="12" t="s">
        <v>27</v>
      </c>
      <c r="C264" s="12">
        <v>18</v>
      </c>
      <c r="D264" s="12">
        <v>426.33</v>
      </c>
      <c r="E264">
        <f>C264*D264</f>
        <v>7673.94</v>
      </c>
    </row>
    <row r="265" spans="1:5" ht="15" thickBot="1">
      <c r="A265" s="24" t="s">
        <v>22</v>
      </c>
      <c r="B265" s="21" t="s">
        <v>42</v>
      </c>
      <c r="C265" s="21">
        <v>175</v>
      </c>
      <c r="D265" s="21">
        <v>337.36</v>
      </c>
      <c r="E265">
        <f>C265*D265</f>
        <v>59038</v>
      </c>
    </row>
    <row r="266" spans="1:5" ht="15" thickBot="1">
      <c r="A266" s="25" t="s">
        <v>22</v>
      </c>
      <c r="B266" s="12"/>
      <c r="C266" s="12">
        <v>441</v>
      </c>
      <c r="D266" s="12">
        <v>405.72</v>
      </c>
      <c r="E266">
        <f>C266*D266</f>
        <v>178922.52000000002</v>
      </c>
    </row>
    <row r="267" spans="1:5" ht="15" thickBot="1">
      <c r="A267" s="24" t="s">
        <v>11</v>
      </c>
      <c r="B267" s="21" t="s">
        <v>23</v>
      </c>
      <c r="C267" s="21">
        <v>453</v>
      </c>
      <c r="D267" s="21">
        <v>384.49</v>
      </c>
      <c r="E267">
        <f>C267*D267</f>
        <v>174173.97</v>
      </c>
    </row>
    <row r="268" spans="1:5" ht="15" thickBot="1">
      <c r="A268" s="25" t="s">
        <v>48</v>
      </c>
      <c r="B268" s="12" t="s">
        <v>27</v>
      </c>
      <c r="C268" s="12">
        <v>328</v>
      </c>
      <c r="D268" s="12">
        <v>79.099999999999994</v>
      </c>
      <c r="E268">
        <f>C268*D268</f>
        <v>25944.799999999999</v>
      </c>
    </row>
    <row r="269" spans="1:5" ht="15" thickBot="1">
      <c r="A269" s="24" t="s">
        <v>17</v>
      </c>
      <c r="B269" s="21" t="s">
        <v>42</v>
      </c>
      <c r="C269" s="21">
        <v>223</v>
      </c>
      <c r="D269" s="21">
        <v>214.85</v>
      </c>
      <c r="E269">
        <f>C269*D269</f>
        <v>47911.549999999996</v>
      </c>
    </row>
    <row r="270" spans="1:5" ht="15" thickBot="1">
      <c r="A270" s="25" t="s">
        <v>17</v>
      </c>
      <c r="B270" s="12" t="s">
        <v>13</v>
      </c>
      <c r="C270" s="12">
        <v>126</v>
      </c>
      <c r="D270" s="12">
        <v>80.73</v>
      </c>
      <c r="E270">
        <f>C270*D270</f>
        <v>10171.980000000001</v>
      </c>
    </row>
    <row r="271" spans="1:5" ht="15" thickBot="1">
      <c r="A271" s="24" t="s">
        <v>11</v>
      </c>
      <c r="B271" s="21" t="s">
        <v>19</v>
      </c>
      <c r="C271" s="21">
        <v>395</v>
      </c>
      <c r="D271" s="21">
        <v>121.44</v>
      </c>
      <c r="E271">
        <f>C271*D271</f>
        <v>47968.799999999996</v>
      </c>
    </row>
    <row r="272" spans="1:5" ht="15" thickBot="1">
      <c r="A272" s="25" t="s">
        <v>11</v>
      </c>
      <c r="B272" s="12" t="s">
        <v>27</v>
      </c>
      <c r="C272" s="12">
        <v>353</v>
      </c>
      <c r="D272" s="12">
        <v>435.28</v>
      </c>
      <c r="E272">
        <f>C272*D272</f>
        <v>153653.84</v>
      </c>
    </row>
    <row r="273" spans="1:5" ht="15" thickBot="1">
      <c r="A273" s="24" t="s">
        <v>48</v>
      </c>
      <c r="B273" s="21" t="s">
        <v>27</v>
      </c>
      <c r="C273" s="21">
        <v>81</v>
      </c>
      <c r="D273" s="21">
        <v>239.08</v>
      </c>
      <c r="E273">
        <f>C273*D273</f>
        <v>19365.48</v>
      </c>
    </row>
    <row r="274" spans="1:5" ht="15" thickBot="1">
      <c r="A274" s="25" t="s">
        <v>17</v>
      </c>
      <c r="B274" s="12" t="s">
        <v>23</v>
      </c>
      <c r="C274" s="12">
        <v>404</v>
      </c>
      <c r="D274" s="12">
        <v>270</v>
      </c>
      <c r="E274">
        <f>C274*D274</f>
        <v>109080</v>
      </c>
    </row>
    <row r="275" spans="1:5" ht="15" thickBot="1">
      <c r="A275" s="24" t="s">
        <v>17</v>
      </c>
      <c r="B275" s="21" t="s">
        <v>23</v>
      </c>
      <c r="C275" s="21">
        <v>73</v>
      </c>
      <c r="D275" s="21">
        <v>93.33</v>
      </c>
      <c r="E275">
        <f>C275*D275</f>
        <v>6813.09</v>
      </c>
    </row>
    <row r="276" spans="1:5" ht="15" thickBot="1">
      <c r="A276" s="25" t="s">
        <v>17</v>
      </c>
      <c r="B276" s="12" t="s">
        <v>13</v>
      </c>
      <c r="C276" s="12">
        <v>214</v>
      </c>
      <c r="D276" s="12">
        <v>159.57</v>
      </c>
      <c r="E276">
        <f>C276*D276</f>
        <v>34147.979999999996</v>
      </c>
    </row>
    <row r="277" spans="1:5" ht="15" thickBot="1">
      <c r="A277" s="24" t="s">
        <v>22</v>
      </c>
      <c r="B277" s="21" t="s">
        <v>13</v>
      </c>
      <c r="C277" s="21">
        <v>218</v>
      </c>
      <c r="D277" s="21">
        <v>118.97</v>
      </c>
      <c r="E277">
        <f>C277*D277</f>
        <v>25935.46</v>
      </c>
    </row>
    <row r="278" spans="1:5" ht="15" thickBot="1">
      <c r="A278" s="25" t="s">
        <v>17</v>
      </c>
      <c r="B278" s="12" t="s">
        <v>42</v>
      </c>
      <c r="C278" s="12">
        <v>81</v>
      </c>
      <c r="D278" s="12">
        <v>107.06</v>
      </c>
      <c r="E278">
        <f>C278*D278</f>
        <v>8671.86</v>
      </c>
    </row>
    <row r="279" spans="1:5" ht="15" thickBot="1">
      <c r="A279" s="24" t="s">
        <v>22</v>
      </c>
      <c r="B279" s="21" t="s">
        <v>42</v>
      </c>
      <c r="C279" s="21">
        <v>286</v>
      </c>
      <c r="D279" s="21">
        <v>320.79000000000002</v>
      </c>
      <c r="E279">
        <f>C279*D279</f>
        <v>91745.94</v>
      </c>
    </row>
    <row r="280" spans="1:5" ht="15" thickBot="1">
      <c r="A280" s="25" t="s">
        <v>48</v>
      </c>
      <c r="B280" s="12" t="s">
        <v>13</v>
      </c>
      <c r="C280" s="12">
        <v>283</v>
      </c>
      <c r="D280" s="12">
        <v>132.16</v>
      </c>
      <c r="E280">
        <f>C280*D280</f>
        <v>37401.279999999999</v>
      </c>
    </row>
    <row r="281" spans="1:5" ht="15" thickBot="1">
      <c r="A281" s="24" t="s">
        <v>22</v>
      </c>
      <c r="B281" s="21" t="s">
        <v>13</v>
      </c>
      <c r="C281" s="21">
        <v>487</v>
      </c>
      <c r="D281" s="21">
        <v>317.85000000000002</v>
      </c>
      <c r="E281">
        <f>C281*D281</f>
        <v>154792.95000000001</v>
      </c>
    </row>
    <row r="282" spans="1:5" ht="15" thickBot="1">
      <c r="A282" s="25" t="s">
        <v>48</v>
      </c>
      <c r="B282" s="12" t="s">
        <v>19</v>
      </c>
      <c r="C282" s="12">
        <v>329</v>
      </c>
      <c r="D282" s="12">
        <v>33.94</v>
      </c>
      <c r="E282">
        <f>C282*D282</f>
        <v>11166.259999999998</v>
      </c>
    </row>
    <row r="283" spans="1:5" ht="15" thickBot="1">
      <c r="A283" s="24" t="s">
        <v>17</v>
      </c>
      <c r="B283" s="21" t="s">
        <v>23</v>
      </c>
      <c r="C283" s="21">
        <v>347</v>
      </c>
      <c r="D283" s="21">
        <v>75.180000000000007</v>
      </c>
      <c r="E283">
        <f>C283*D283</f>
        <v>26087.460000000003</v>
      </c>
    </row>
    <row r="284" spans="1:5" ht="15" thickBot="1">
      <c r="A284" s="25" t="s">
        <v>17</v>
      </c>
      <c r="B284" s="12" t="s">
        <v>42</v>
      </c>
      <c r="C284" s="12">
        <v>375</v>
      </c>
      <c r="D284" s="12">
        <v>140.9</v>
      </c>
      <c r="E284">
        <f>C284*D284</f>
        <v>52837.5</v>
      </c>
    </row>
    <row r="285" spans="1:5" ht="15" thickBot="1">
      <c r="A285" s="24" t="s">
        <v>48</v>
      </c>
      <c r="B285" s="21" t="s">
        <v>23</v>
      </c>
      <c r="C285" s="21">
        <v>104</v>
      </c>
      <c r="D285" s="21">
        <v>300.54000000000002</v>
      </c>
      <c r="E285">
        <f>C285*D285</f>
        <v>31256.160000000003</v>
      </c>
    </row>
    <row r="286" spans="1:5" ht="15" thickBot="1">
      <c r="A286" s="25" t="s">
        <v>11</v>
      </c>
      <c r="B286" s="12"/>
      <c r="C286" s="12">
        <v>175</v>
      </c>
      <c r="D286" s="12">
        <v>339.54</v>
      </c>
      <c r="E286">
        <f>C286*D286</f>
        <v>59419.5</v>
      </c>
    </row>
    <row r="287" spans="1:5" ht="15" thickBot="1">
      <c r="A287" s="24" t="s">
        <v>48</v>
      </c>
      <c r="B287" s="21" t="s">
        <v>13</v>
      </c>
      <c r="C287" s="21">
        <v>41</v>
      </c>
      <c r="D287" s="21">
        <v>224.14</v>
      </c>
      <c r="E287">
        <f>C287*D287</f>
        <v>9189.74</v>
      </c>
    </row>
    <row r="288" spans="1:5" ht="15" thickBot="1">
      <c r="A288" s="25" t="s">
        <v>11</v>
      </c>
      <c r="B288" s="12" t="s">
        <v>19</v>
      </c>
      <c r="C288" s="12">
        <v>20</v>
      </c>
      <c r="D288" s="12">
        <v>225.67</v>
      </c>
      <c r="E288">
        <f>C288*D288</f>
        <v>4513.3999999999996</v>
      </c>
    </row>
    <row r="289" spans="1:5" ht="15" thickBot="1">
      <c r="A289" s="24" t="s">
        <v>22</v>
      </c>
      <c r="B289" s="21" t="s">
        <v>27</v>
      </c>
      <c r="C289" s="21">
        <v>310</v>
      </c>
      <c r="D289" s="21">
        <v>363.64</v>
      </c>
      <c r="E289">
        <f>C289*D289</f>
        <v>112728.4</v>
      </c>
    </row>
    <row r="290" spans="1:5" ht="15" thickBot="1">
      <c r="A290" s="25" t="s">
        <v>22</v>
      </c>
      <c r="B290" s="12" t="s">
        <v>19</v>
      </c>
      <c r="C290" s="12">
        <v>226</v>
      </c>
      <c r="D290" s="12"/>
      <c r="E290">
        <f>C290*D290</f>
        <v>0</v>
      </c>
    </row>
    <row r="291" spans="1:5" ht="15" thickBot="1">
      <c r="A291" s="24" t="s">
        <v>22</v>
      </c>
      <c r="B291" s="21" t="s">
        <v>19</v>
      </c>
      <c r="C291" s="21"/>
      <c r="D291" s="21">
        <v>173.84</v>
      </c>
      <c r="E291">
        <f>C291*D291</f>
        <v>0</v>
      </c>
    </row>
    <row r="292" spans="1:5" ht="15" thickBot="1">
      <c r="A292" s="25" t="s">
        <v>17</v>
      </c>
      <c r="B292" s="12" t="s">
        <v>23</v>
      </c>
      <c r="C292" s="12">
        <v>111</v>
      </c>
      <c r="D292" s="12">
        <v>410.26</v>
      </c>
      <c r="E292">
        <f>C292*D292</f>
        <v>45538.86</v>
      </c>
    </row>
    <row r="293" spans="1:5" ht="15" thickBot="1">
      <c r="A293" s="24" t="s">
        <v>22</v>
      </c>
      <c r="B293" s="21" t="s">
        <v>19</v>
      </c>
      <c r="C293" s="21">
        <v>434</v>
      </c>
      <c r="D293" s="21">
        <v>303.58999999999997</v>
      </c>
      <c r="E293">
        <f>C293*D293</f>
        <v>131758.06</v>
      </c>
    </row>
    <row r="294" spans="1:5" ht="15" thickBot="1">
      <c r="A294" s="25" t="s">
        <v>11</v>
      </c>
      <c r="B294" s="12" t="s">
        <v>42</v>
      </c>
      <c r="C294" s="12">
        <v>401</v>
      </c>
      <c r="D294" s="12">
        <v>171.93</v>
      </c>
      <c r="E294">
        <f>C294*D294</f>
        <v>68943.930000000008</v>
      </c>
    </row>
    <row r="295" spans="1:5" ht="15" thickBot="1">
      <c r="A295" s="24" t="s">
        <v>22</v>
      </c>
      <c r="B295" s="21" t="s">
        <v>23</v>
      </c>
      <c r="C295" s="21">
        <v>276</v>
      </c>
      <c r="D295" s="21">
        <v>453.23</v>
      </c>
      <c r="E295">
        <f>C295*D295</f>
        <v>125091.48000000001</v>
      </c>
    </row>
    <row r="296" spans="1:5" ht="15" thickBot="1">
      <c r="A296" s="25" t="s">
        <v>48</v>
      </c>
      <c r="B296" s="12" t="s">
        <v>42</v>
      </c>
      <c r="C296" s="12"/>
      <c r="D296" s="12">
        <v>387.45</v>
      </c>
      <c r="E296">
        <f>C296*D296</f>
        <v>0</v>
      </c>
    </row>
    <row r="297" spans="1:5" ht="15" thickBot="1">
      <c r="A297" s="24" t="s">
        <v>48</v>
      </c>
      <c r="B297" s="21" t="s">
        <v>27</v>
      </c>
      <c r="C297" s="21">
        <v>188</v>
      </c>
      <c r="D297" s="21">
        <v>136.12</v>
      </c>
      <c r="E297">
        <f>C297*D297</f>
        <v>25590.560000000001</v>
      </c>
    </row>
    <row r="298" spans="1:5" ht="15" thickBot="1">
      <c r="A298" s="25" t="s">
        <v>17</v>
      </c>
      <c r="B298" s="12" t="s">
        <v>23</v>
      </c>
      <c r="C298" s="12">
        <v>97</v>
      </c>
      <c r="D298" s="12">
        <v>324.42</v>
      </c>
      <c r="E298">
        <f>C298*D298</f>
        <v>31468.74</v>
      </c>
    </row>
    <row r="299" spans="1:5" ht="15" thickBot="1">
      <c r="A299" s="24" t="s">
        <v>48</v>
      </c>
      <c r="B299" s="21" t="s">
        <v>27</v>
      </c>
      <c r="C299" s="21">
        <v>50</v>
      </c>
      <c r="D299" s="21">
        <v>299.89999999999998</v>
      </c>
      <c r="E299">
        <f>C299*D299</f>
        <v>14994.999999999998</v>
      </c>
    </row>
    <row r="300" spans="1:5" ht="15" thickBot="1">
      <c r="A300" s="25" t="s">
        <v>11</v>
      </c>
      <c r="B300" s="12" t="s">
        <v>23</v>
      </c>
      <c r="C300" s="12">
        <v>410</v>
      </c>
      <c r="D300" s="12">
        <v>203.59</v>
      </c>
      <c r="E300">
        <f>C300*D300</f>
        <v>83471.899999999994</v>
      </c>
    </row>
    <row r="301" spans="1:5" ht="15" thickBot="1">
      <c r="A301" s="24" t="s">
        <v>22</v>
      </c>
      <c r="B301" s="21" t="s">
        <v>13</v>
      </c>
      <c r="C301" s="21">
        <v>85</v>
      </c>
      <c r="D301" s="21">
        <v>186.64</v>
      </c>
      <c r="E301">
        <f>C301*D301</f>
        <v>15864.4</v>
      </c>
    </row>
    <row r="302" spans="1:5" ht="15" thickBot="1">
      <c r="A302" s="25" t="s">
        <v>17</v>
      </c>
      <c r="B302" s="12" t="s">
        <v>19</v>
      </c>
      <c r="C302" s="12">
        <v>386</v>
      </c>
      <c r="D302" s="12">
        <v>175.06</v>
      </c>
      <c r="E302">
        <f>C302*D302</f>
        <v>67573.16</v>
      </c>
    </row>
    <row r="303" spans="1:5" ht="15" thickBot="1">
      <c r="A303" s="24" t="s">
        <v>22</v>
      </c>
      <c r="B303" s="21" t="s">
        <v>13</v>
      </c>
      <c r="C303" s="21">
        <v>55</v>
      </c>
      <c r="D303" s="21">
        <v>310.49</v>
      </c>
      <c r="E303">
        <f>C303*D303</f>
        <v>17076.95</v>
      </c>
    </row>
    <row r="304" spans="1:5" ht="15" thickBot="1">
      <c r="A304" s="25" t="s">
        <v>22</v>
      </c>
      <c r="B304" s="12" t="s">
        <v>27</v>
      </c>
      <c r="C304" s="12">
        <v>169</v>
      </c>
      <c r="D304" s="12">
        <v>223.99</v>
      </c>
      <c r="E304">
        <f>C304*D304</f>
        <v>37854.310000000005</v>
      </c>
    </row>
    <row r="305" spans="1:5" ht="15" thickBot="1">
      <c r="A305" s="24" t="s">
        <v>11</v>
      </c>
      <c r="B305" s="21" t="s">
        <v>19</v>
      </c>
      <c r="C305" s="21">
        <v>472</v>
      </c>
      <c r="D305" s="21">
        <v>416.77</v>
      </c>
      <c r="E305">
        <f>C305*D305</f>
        <v>196715.44</v>
      </c>
    </row>
    <row r="306" spans="1:5" ht="15" thickBot="1">
      <c r="A306" s="25" t="s">
        <v>48</v>
      </c>
      <c r="B306" s="12" t="s">
        <v>23</v>
      </c>
      <c r="C306" s="12">
        <v>89</v>
      </c>
      <c r="D306" s="12">
        <v>336.45</v>
      </c>
      <c r="E306">
        <f>C306*D306</f>
        <v>29944.05</v>
      </c>
    </row>
    <row r="307" spans="1:5" ht="15" thickBot="1">
      <c r="A307" s="24" t="s">
        <v>48</v>
      </c>
      <c r="B307" s="21" t="s">
        <v>19</v>
      </c>
      <c r="C307" s="21">
        <v>319</v>
      </c>
      <c r="D307" s="21">
        <v>39.619999999999997</v>
      </c>
      <c r="E307">
        <f>C307*D307</f>
        <v>12638.779999999999</v>
      </c>
    </row>
    <row r="308" spans="1:5" ht="15" thickBot="1">
      <c r="A308" s="25" t="s">
        <v>22</v>
      </c>
      <c r="B308" s="12"/>
      <c r="C308" s="12">
        <v>95</v>
      </c>
      <c r="D308" s="12">
        <v>321.88</v>
      </c>
      <c r="E308">
        <f>C308*D308</f>
        <v>30578.6</v>
      </c>
    </row>
    <row r="309" spans="1:5" ht="15" thickBot="1">
      <c r="A309" s="24" t="s">
        <v>17</v>
      </c>
      <c r="B309" s="21"/>
      <c r="C309" s="21">
        <v>101</v>
      </c>
      <c r="D309" s="21">
        <v>139.22</v>
      </c>
      <c r="E309">
        <f>C309*D309</f>
        <v>14061.22</v>
      </c>
    </row>
    <row r="310" spans="1:5" ht="15" thickBot="1">
      <c r="A310" s="25" t="s">
        <v>48</v>
      </c>
      <c r="B310" s="12"/>
      <c r="C310" s="12">
        <v>157</v>
      </c>
      <c r="D310" s="12"/>
      <c r="E310">
        <f>C310*D310</f>
        <v>0</v>
      </c>
    </row>
    <row r="311" spans="1:5" ht="15" thickBot="1">
      <c r="A311" s="24" t="s">
        <v>17</v>
      </c>
      <c r="B311" s="21" t="s">
        <v>19</v>
      </c>
      <c r="C311" s="21">
        <v>170</v>
      </c>
      <c r="D311" s="21">
        <v>341.67</v>
      </c>
      <c r="E311">
        <f>C311*D311</f>
        <v>58083.9</v>
      </c>
    </row>
    <row r="312" spans="1:5" ht="15" thickBot="1">
      <c r="A312" s="25" t="s">
        <v>48</v>
      </c>
      <c r="B312" s="12" t="s">
        <v>42</v>
      </c>
      <c r="C312" s="12">
        <v>211</v>
      </c>
      <c r="D312" s="12">
        <v>119.26</v>
      </c>
      <c r="E312">
        <f>C312*D312</f>
        <v>25163.86</v>
      </c>
    </row>
    <row r="313" spans="1:5" ht="15" thickBot="1">
      <c r="A313" s="24" t="s">
        <v>17</v>
      </c>
      <c r="B313" s="21" t="s">
        <v>27</v>
      </c>
      <c r="C313" s="21">
        <v>433</v>
      </c>
      <c r="D313" s="21">
        <v>231.15</v>
      </c>
      <c r="E313">
        <f>C313*D313</f>
        <v>100087.95</v>
      </c>
    </row>
    <row r="314" spans="1:5" ht="15" thickBot="1">
      <c r="A314" s="25" t="s">
        <v>11</v>
      </c>
      <c r="B314" s="12" t="s">
        <v>13</v>
      </c>
      <c r="C314" s="12">
        <v>425</v>
      </c>
      <c r="D314" s="12">
        <v>99.21</v>
      </c>
      <c r="E314">
        <f>C314*D314</f>
        <v>42164.25</v>
      </c>
    </row>
    <row r="315" spans="1:5" ht="15" thickBot="1">
      <c r="A315" s="24" t="s">
        <v>17</v>
      </c>
      <c r="B315" s="21" t="s">
        <v>23</v>
      </c>
      <c r="C315" s="21">
        <v>251</v>
      </c>
      <c r="D315" s="21">
        <v>30.91</v>
      </c>
      <c r="E315">
        <f>C315*D315</f>
        <v>7758.41</v>
      </c>
    </row>
    <row r="316" spans="1:5" ht="15" thickBot="1">
      <c r="A316" s="25" t="s">
        <v>11</v>
      </c>
      <c r="B316" s="12" t="s">
        <v>19</v>
      </c>
      <c r="C316" s="12"/>
      <c r="D316" s="12">
        <v>192.35</v>
      </c>
      <c r="E316">
        <f>C316*D316</f>
        <v>0</v>
      </c>
    </row>
    <row r="317" spans="1:5" ht="15" thickBot="1">
      <c r="A317" s="24" t="s">
        <v>11</v>
      </c>
      <c r="B317" s="21" t="s">
        <v>13</v>
      </c>
      <c r="C317" s="21">
        <v>11</v>
      </c>
      <c r="D317" s="21">
        <v>184.66</v>
      </c>
      <c r="E317">
        <f>C317*D317</f>
        <v>2031.26</v>
      </c>
    </row>
    <row r="318" spans="1:5" ht="15" thickBot="1">
      <c r="A318" s="25" t="s">
        <v>17</v>
      </c>
      <c r="B318" s="12" t="s">
        <v>23</v>
      </c>
      <c r="C318" s="12">
        <v>234</v>
      </c>
      <c r="D318" s="12">
        <v>497.76</v>
      </c>
      <c r="E318">
        <f>C318*D318</f>
        <v>116475.84</v>
      </c>
    </row>
    <row r="319" spans="1:5" ht="15" thickBot="1">
      <c r="A319" s="24" t="s">
        <v>11</v>
      </c>
      <c r="B319" s="21" t="s">
        <v>23</v>
      </c>
      <c r="C319" s="21"/>
      <c r="D319" s="21">
        <v>225.94</v>
      </c>
      <c r="E319">
        <f>C319*D319</f>
        <v>0</v>
      </c>
    </row>
    <row r="320" spans="1:5" ht="15" thickBot="1">
      <c r="A320" s="25" t="s">
        <v>22</v>
      </c>
      <c r="B320" s="12" t="s">
        <v>42</v>
      </c>
      <c r="C320" s="12">
        <v>242</v>
      </c>
      <c r="D320" s="12">
        <v>170.12</v>
      </c>
      <c r="E320">
        <f>C320*D320</f>
        <v>41169.040000000001</v>
      </c>
    </row>
    <row r="321" spans="1:5" ht="15" thickBot="1">
      <c r="A321" s="24" t="s">
        <v>11</v>
      </c>
      <c r="B321" s="21" t="s">
        <v>27</v>
      </c>
      <c r="C321" s="21">
        <v>470</v>
      </c>
      <c r="D321" s="21">
        <v>292.33999999999997</v>
      </c>
      <c r="E321">
        <f>C321*D321</f>
        <v>137399.79999999999</v>
      </c>
    </row>
    <row r="322" spans="1:5" ht="15" thickBot="1">
      <c r="A322" s="25" t="s">
        <v>48</v>
      </c>
      <c r="B322" s="12" t="s">
        <v>27</v>
      </c>
      <c r="C322" s="12">
        <v>423</v>
      </c>
      <c r="D322" s="12">
        <v>48.94</v>
      </c>
      <c r="E322">
        <f>C322*D322</f>
        <v>20701.62</v>
      </c>
    </row>
    <row r="323" spans="1:5" ht="15" thickBot="1">
      <c r="A323" s="24" t="s">
        <v>17</v>
      </c>
      <c r="B323" s="21" t="s">
        <v>13</v>
      </c>
      <c r="C323" s="21">
        <v>426</v>
      </c>
      <c r="D323" s="21">
        <v>481.02</v>
      </c>
      <c r="E323">
        <f>C323*D323</f>
        <v>204914.52</v>
      </c>
    </row>
    <row r="324" spans="1:5" ht="15" thickBot="1">
      <c r="A324" s="25" t="s">
        <v>22</v>
      </c>
      <c r="B324" s="12" t="s">
        <v>27</v>
      </c>
      <c r="C324" s="12">
        <v>86</v>
      </c>
      <c r="D324" s="12">
        <v>319.31</v>
      </c>
      <c r="E324">
        <f>C324*D324</f>
        <v>27460.66</v>
      </c>
    </row>
    <row r="325" spans="1:5" ht="15" thickBot="1">
      <c r="A325" s="24" t="s">
        <v>17</v>
      </c>
      <c r="B325" s="21" t="s">
        <v>19</v>
      </c>
      <c r="C325" s="21">
        <v>125</v>
      </c>
      <c r="D325" s="21">
        <v>378.64</v>
      </c>
      <c r="E325">
        <f>C325*D325</f>
        <v>47330</v>
      </c>
    </row>
    <row r="326" spans="1:5" ht="15" thickBot="1">
      <c r="A326" s="25" t="s">
        <v>48</v>
      </c>
      <c r="B326" s="12"/>
      <c r="C326" s="12">
        <v>163</v>
      </c>
      <c r="D326" s="12">
        <v>89.39</v>
      </c>
      <c r="E326">
        <f>C326*D326</f>
        <v>14570.57</v>
      </c>
    </row>
    <row r="327" spans="1:5" ht="15" thickBot="1">
      <c r="A327" s="24" t="s">
        <v>48</v>
      </c>
      <c r="B327" s="21" t="s">
        <v>13</v>
      </c>
      <c r="C327" s="21">
        <v>415</v>
      </c>
      <c r="D327" s="21">
        <v>207.69</v>
      </c>
      <c r="E327">
        <f>C327*D327</f>
        <v>86191.35</v>
      </c>
    </row>
    <row r="328" spans="1:5" ht="15" thickBot="1">
      <c r="A328" s="25" t="s">
        <v>48</v>
      </c>
      <c r="B328" s="12" t="s">
        <v>27</v>
      </c>
      <c r="C328" s="12">
        <v>112</v>
      </c>
      <c r="D328" s="12">
        <v>214.23</v>
      </c>
      <c r="E328">
        <f>C328*D328</f>
        <v>23993.759999999998</v>
      </c>
    </row>
    <row r="329" spans="1:5" ht="15" thickBot="1">
      <c r="A329" s="24" t="s">
        <v>11</v>
      </c>
      <c r="B329" s="21" t="s">
        <v>19</v>
      </c>
      <c r="C329" s="21">
        <v>203</v>
      </c>
      <c r="D329" s="21">
        <v>411.79</v>
      </c>
      <c r="E329">
        <f>C329*D329</f>
        <v>83593.37000000001</v>
      </c>
    </row>
    <row r="330" spans="1:5" ht="15" thickBot="1">
      <c r="A330" s="25" t="s">
        <v>11</v>
      </c>
      <c r="B330" s="12" t="s">
        <v>42</v>
      </c>
      <c r="C330" s="12"/>
      <c r="D330" s="12">
        <v>5.61</v>
      </c>
      <c r="E330">
        <f>C330*D330</f>
        <v>0</v>
      </c>
    </row>
    <row r="331" spans="1:5" ht="15" thickBot="1">
      <c r="A331" s="24" t="s">
        <v>17</v>
      </c>
      <c r="B331" s="21" t="s">
        <v>13</v>
      </c>
      <c r="C331" s="21">
        <v>368</v>
      </c>
      <c r="D331" s="21">
        <v>153.91999999999999</v>
      </c>
      <c r="E331">
        <f>C331*D331</f>
        <v>56642.559999999998</v>
      </c>
    </row>
    <row r="332" spans="1:5" ht="15" thickBot="1">
      <c r="A332" s="25" t="s">
        <v>17</v>
      </c>
      <c r="B332" s="12" t="s">
        <v>42</v>
      </c>
      <c r="C332" s="12">
        <v>99</v>
      </c>
      <c r="D332" s="12">
        <v>490.71</v>
      </c>
      <c r="E332">
        <f>C332*D332</f>
        <v>48580.29</v>
      </c>
    </row>
    <row r="333" spans="1:5" ht="15" thickBot="1">
      <c r="A333" s="24" t="s">
        <v>22</v>
      </c>
      <c r="B333" s="21" t="s">
        <v>42</v>
      </c>
      <c r="C333" s="21">
        <v>183</v>
      </c>
      <c r="D333" s="21">
        <v>240.07</v>
      </c>
      <c r="E333">
        <f>C333*D333</f>
        <v>43932.81</v>
      </c>
    </row>
    <row r="334" spans="1:5" ht="15" thickBot="1">
      <c r="A334" s="25"/>
      <c r="B334" s="12" t="s">
        <v>42</v>
      </c>
      <c r="C334" s="12">
        <v>131</v>
      </c>
      <c r="D334" s="12">
        <v>194.35</v>
      </c>
      <c r="E334">
        <f>C334*D334</f>
        <v>25459.85</v>
      </c>
    </row>
    <row r="335" spans="1:5" ht="15" thickBot="1">
      <c r="A335" s="24" t="s">
        <v>17</v>
      </c>
      <c r="B335" s="21" t="s">
        <v>23</v>
      </c>
      <c r="C335" s="21">
        <v>152</v>
      </c>
      <c r="D335" s="21">
        <v>64.319999999999993</v>
      </c>
      <c r="E335">
        <f>C335*D335</f>
        <v>9776.64</v>
      </c>
    </row>
    <row r="336" spans="1:5" ht="15" thickBot="1">
      <c r="A336" s="25" t="s">
        <v>11</v>
      </c>
      <c r="B336" s="12" t="s">
        <v>23</v>
      </c>
      <c r="C336" s="12">
        <v>491</v>
      </c>
      <c r="D336" s="12">
        <v>487.21</v>
      </c>
      <c r="E336">
        <f>C336*D336</f>
        <v>239220.11</v>
      </c>
    </row>
    <row r="337" spans="1:5" ht="15" thickBot="1">
      <c r="A337" s="24" t="s">
        <v>48</v>
      </c>
      <c r="B337" s="21" t="s">
        <v>42</v>
      </c>
      <c r="C337" s="21">
        <v>115</v>
      </c>
      <c r="D337" s="21">
        <v>14.91</v>
      </c>
      <c r="E337">
        <f>C337*D337</f>
        <v>1714.65</v>
      </c>
    </row>
    <row r="338" spans="1:5" ht="15" thickBot="1">
      <c r="A338" s="25" t="s">
        <v>17</v>
      </c>
      <c r="B338" s="12" t="s">
        <v>13</v>
      </c>
      <c r="C338" s="12">
        <v>384</v>
      </c>
      <c r="D338" s="12">
        <v>369.9</v>
      </c>
      <c r="E338">
        <f>C338*D338</f>
        <v>142041.59999999998</v>
      </c>
    </row>
    <row r="339" spans="1:5" ht="15" thickBot="1">
      <c r="A339" s="24" t="s">
        <v>22</v>
      </c>
      <c r="B339" s="21" t="s">
        <v>19</v>
      </c>
      <c r="C339" s="21">
        <v>437</v>
      </c>
      <c r="D339" s="21">
        <v>385.46</v>
      </c>
      <c r="E339">
        <f>C339*D339</f>
        <v>168446.02</v>
      </c>
    </row>
    <row r="340" spans="1:5" ht="15" thickBot="1">
      <c r="A340" s="25" t="s">
        <v>11</v>
      </c>
      <c r="B340" s="12" t="s">
        <v>19</v>
      </c>
      <c r="C340" s="12">
        <v>314</v>
      </c>
      <c r="D340" s="12">
        <v>125.61</v>
      </c>
      <c r="E340">
        <f>C340*D340</f>
        <v>39441.54</v>
      </c>
    </row>
    <row r="341" spans="1:5" ht="15" thickBot="1">
      <c r="A341" s="24" t="s">
        <v>17</v>
      </c>
      <c r="B341" s="21" t="s">
        <v>27</v>
      </c>
      <c r="C341" s="21">
        <v>369</v>
      </c>
      <c r="D341" s="21">
        <v>337.42</v>
      </c>
      <c r="E341">
        <f>C341*D341</f>
        <v>124507.98000000001</v>
      </c>
    </row>
    <row r="342" spans="1:5" ht="15" thickBot="1">
      <c r="A342" s="25" t="s">
        <v>17</v>
      </c>
      <c r="B342" s="12" t="s">
        <v>13</v>
      </c>
      <c r="C342" s="12">
        <v>468</v>
      </c>
      <c r="D342" s="12">
        <v>51</v>
      </c>
      <c r="E342">
        <f>C342*D342</f>
        <v>23868</v>
      </c>
    </row>
    <row r="343" spans="1:5" ht="15" thickBot="1">
      <c r="A343" s="24" t="s">
        <v>11</v>
      </c>
      <c r="B343" s="21" t="s">
        <v>23</v>
      </c>
      <c r="C343" s="21">
        <v>326</v>
      </c>
      <c r="D343" s="21">
        <v>132.24</v>
      </c>
      <c r="E343">
        <f>C343*D343</f>
        <v>43110.240000000005</v>
      </c>
    </row>
    <row r="344" spans="1:5" ht="15" thickBot="1">
      <c r="A344" s="25" t="s">
        <v>17</v>
      </c>
      <c r="B344" s="12" t="s">
        <v>42</v>
      </c>
      <c r="C344" s="12">
        <v>460</v>
      </c>
      <c r="D344" s="12">
        <v>395.01</v>
      </c>
      <c r="E344">
        <f>C344*D344</f>
        <v>181704.6</v>
      </c>
    </row>
    <row r="345" spans="1:5" ht="15" thickBot="1">
      <c r="A345" s="24" t="s">
        <v>11</v>
      </c>
      <c r="B345" s="21" t="s">
        <v>27</v>
      </c>
      <c r="C345" s="21">
        <v>132</v>
      </c>
      <c r="D345" s="21">
        <v>433.02</v>
      </c>
      <c r="E345">
        <f>C345*D345</f>
        <v>57158.64</v>
      </c>
    </row>
    <row r="346" spans="1:5" ht="15" thickBot="1">
      <c r="A346" s="25" t="s">
        <v>48</v>
      </c>
      <c r="B346" s="12" t="s">
        <v>19</v>
      </c>
      <c r="C346" s="12">
        <v>399</v>
      </c>
      <c r="D346" s="12">
        <v>306.2</v>
      </c>
      <c r="E346">
        <f>C346*D346</f>
        <v>122173.79999999999</v>
      </c>
    </row>
    <row r="347" spans="1:5" ht="15" thickBot="1">
      <c r="A347" s="24" t="s">
        <v>11</v>
      </c>
      <c r="B347" s="21" t="s">
        <v>23</v>
      </c>
      <c r="C347" s="21">
        <v>18</v>
      </c>
      <c r="D347" s="21">
        <v>255.89</v>
      </c>
      <c r="E347">
        <f>C347*D347</f>
        <v>4606.0199999999995</v>
      </c>
    </row>
    <row r="348" spans="1:5" ht="15" thickBot="1">
      <c r="A348" s="25" t="s">
        <v>11</v>
      </c>
      <c r="B348" s="12" t="s">
        <v>23</v>
      </c>
      <c r="C348" s="12">
        <v>271</v>
      </c>
      <c r="D348" s="12">
        <v>83.86</v>
      </c>
      <c r="E348">
        <f>C348*D348</f>
        <v>22726.06</v>
      </c>
    </row>
    <row r="349" spans="1:5" ht="15" thickBot="1">
      <c r="A349" s="24"/>
      <c r="B349" s="21" t="s">
        <v>42</v>
      </c>
      <c r="C349" s="21">
        <v>82</v>
      </c>
      <c r="D349" s="21">
        <v>36.24</v>
      </c>
      <c r="E349">
        <f>C349*D349</f>
        <v>2971.6800000000003</v>
      </c>
    </row>
    <row r="350" spans="1:5" ht="15" thickBot="1">
      <c r="A350" s="25" t="s">
        <v>17</v>
      </c>
      <c r="B350" s="12" t="s">
        <v>19</v>
      </c>
      <c r="C350" s="12">
        <v>368</v>
      </c>
      <c r="D350" s="12">
        <v>63.24</v>
      </c>
      <c r="E350">
        <f>C350*D350</f>
        <v>23272.32</v>
      </c>
    </row>
    <row r="351" spans="1:5" ht="15" thickBot="1">
      <c r="A351" s="24" t="s">
        <v>17</v>
      </c>
      <c r="B351" s="21" t="s">
        <v>13</v>
      </c>
      <c r="C351" s="21">
        <v>232</v>
      </c>
      <c r="D351" s="21">
        <v>117.54</v>
      </c>
      <c r="E351">
        <f>C351*D351</f>
        <v>27269.280000000002</v>
      </c>
    </row>
    <row r="352" spans="1:5" ht="15" thickBot="1">
      <c r="A352" s="25" t="s">
        <v>11</v>
      </c>
      <c r="B352" s="12" t="s">
        <v>23</v>
      </c>
      <c r="C352" s="12">
        <v>425</v>
      </c>
      <c r="D352" s="12">
        <v>174.13</v>
      </c>
      <c r="E352">
        <f>C352*D352</f>
        <v>74005.25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E718-EA83-4480-9FE9-879BCAD46885}">
  <dimension ref="A1:J354"/>
  <sheetViews>
    <sheetView workbookViewId="0">
      <selection activeCell="I354" sqref="I4:I354"/>
    </sheetView>
  </sheetViews>
  <sheetFormatPr defaultRowHeight="14.4"/>
  <cols>
    <col min="1" max="1" width="12.44140625" bestFit="1" customWidth="1"/>
    <col min="2" max="2" width="11.21875" bestFit="1" customWidth="1"/>
    <col min="3" max="3" width="12.21875" bestFit="1" customWidth="1"/>
    <col min="4" max="4" width="13" bestFit="1" customWidth="1"/>
    <col min="5" max="5" width="12.33203125" bestFit="1" customWidth="1"/>
    <col min="6" max="6" width="11.5546875" bestFit="1" customWidth="1"/>
    <col min="7" max="7" width="15.44140625" bestFit="1" customWidth="1"/>
    <col min="8" max="8" width="9.77734375" bestFit="1" customWidth="1"/>
    <col min="9" max="9" width="9.5546875" bestFit="1" customWidth="1"/>
    <col min="10" max="10" width="13.109375" bestFit="1" customWidth="1"/>
  </cols>
  <sheetData>
    <row r="1" spans="1:10">
      <c r="A1" s="7" t="s">
        <v>418</v>
      </c>
    </row>
    <row r="2" spans="1:10">
      <c r="A2" s="7" t="s">
        <v>419</v>
      </c>
    </row>
    <row r="4" spans="1:10" ht="29.4" thickBo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29.4" thickBo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</row>
    <row r="6" spans="1:10" ht="15" thickBot="1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</row>
    <row r="7" spans="1:10" ht="15" thickBot="1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</row>
    <row r="8" spans="1:10" ht="15" thickBot="1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</row>
    <row r="9" spans="1:10" ht="15" thickBot="1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</row>
    <row r="10" spans="1:10" ht="15" thickBot="1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</row>
    <row r="11" spans="1:10" ht="15" thickBot="1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</row>
    <row r="12" spans="1:10" ht="29.4" thickBot="1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</row>
    <row r="13" spans="1:10" ht="29.4" thickBot="1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</row>
    <row r="14" spans="1:10" ht="15" thickBot="1">
      <c r="A14" s="3" t="s">
        <v>35</v>
      </c>
      <c r="B14" s="3"/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</row>
    <row r="15" spans="1:10" ht="15" thickBot="1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</row>
    <row r="16" spans="1:10" ht="15" thickBot="1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</row>
    <row r="17" spans="1:10" ht="15" thickBot="1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</row>
    <row r="18" spans="1:10" ht="15" thickBot="1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</row>
    <row r="19" spans="1:10" ht="29.4" thickBot="1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</row>
    <row r="20" spans="1:10" ht="29.4" thickBot="1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</row>
    <row r="21" spans="1:10" ht="29.4" thickBot="1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</row>
    <row r="22" spans="1:10" ht="15" thickBot="1">
      <c r="A22" s="3" t="s">
        <v>44</v>
      </c>
      <c r="B22" s="3"/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</row>
    <row r="23" spans="1:10" ht="29.4" thickBot="1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</row>
    <row r="24" spans="1:10" ht="15" thickBot="1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</row>
    <row r="25" spans="1:10" ht="29.4" thickBot="1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</row>
    <row r="26" spans="1:10" ht="15" thickBot="1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</row>
    <row r="27" spans="1:10" ht="29.4" thickBot="1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</row>
    <row r="28" spans="1:10" ht="29.4" thickBot="1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</row>
    <row r="29" spans="1:10" ht="15" thickBot="1">
      <c r="A29" s="3" t="s">
        <v>53</v>
      </c>
      <c r="B29" s="3" t="s">
        <v>17</v>
      </c>
      <c r="C29" s="3" t="s">
        <v>18</v>
      </c>
      <c r="D29" s="3"/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</row>
    <row r="30" spans="1:10" ht="29.4" thickBot="1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</row>
    <row r="31" spans="1:10" ht="15" thickBot="1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</row>
    <row r="32" spans="1:10" ht="15" thickBot="1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3"/>
      <c r="J32" s="3">
        <v>383.01</v>
      </c>
    </row>
    <row r="33" spans="1:10" ht="29.4" thickBot="1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</row>
    <row r="34" spans="1:10" ht="29.4" thickBot="1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</row>
    <row r="35" spans="1:10" ht="29.4" thickBot="1">
      <c r="A35" s="3" t="s">
        <v>59</v>
      </c>
      <c r="B35" s="3"/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</row>
    <row r="36" spans="1:10" ht="29.4" thickBot="1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</row>
    <row r="37" spans="1:10" ht="29.4" thickBot="1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</row>
    <row r="38" spans="1:10" ht="15" thickBot="1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</row>
    <row r="39" spans="1:10" ht="15" thickBot="1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</row>
    <row r="40" spans="1:10" ht="29.4" thickBot="1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</row>
    <row r="41" spans="1:10" ht="15" thickBot="1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3"/>
      <c r="J41" s="3">
        <v>332.07</v>
      </c>
    </row>
    <row r="42" spans="1:10" ht="15" thickBot="1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</row>
    <row r="43" spans="1:10" ht="15" thickBot="1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3"/>
      <c r="I43" s="3">
        <v>91.23</v>
      </c>
      <c r="J43" s="3">
        <v>381.21</v>
      </c>
    </row>
    <row r="44" spans="1:10" ht="15" thickBot="1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</row>
    <row r="45" spans="1:10" ht="29.4" thickBot="1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</row>
    <row r="46" spans="1:10" ht="15" thickBot="1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</row>
    <row r="47" spans="1:10" ht="29.4" thickBot="1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</row>
    <row r="48" spans="1:10" ht="29.4" thickBot="1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</row>
    <row r="49" spans="1:10" ht="29.4" thickBot="1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3"/>
      <c r="J49" s="3">
        <v>94.56</v>
      </c>
    </row>
    <row r="50" spans="1:10" ht="29.4" thickBot="1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</row>
    <row r="51" spans="1:10" ht="15" thickBot="1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</row>
    <row r="52" spans="1:10" ht="29.4" thickBot="1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</row>
    <row r="53" spans="1:10" ht="15" thickBot="1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</row>
    <row r="54" spans="1:10" ht="15" thickBot="1">
      <c r="A54" s="3" t="s">
        <v>78</v>
      </c>
      <c r="B54" s="3"/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</row>
    <row r="55" spans="1:10" ht="15" thickBot="1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</row>
    <row r="56" spans="1:10" ht="15" thickBot="1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</row>
    <row r="57" spans="1:10" ht="15" thickBot="1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</row>
    <row r="58" spans="1:10" ht="29.4" thickBot="1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</row>
    <row r="59" spans="1:10" ht="15" thickBot="1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</row>
    <row r="60" spans="1:10" ht="15" thickBot="1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</row>
    <row r="61" spans="1:10" ht="15" thickBot="1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</row>
    <row r="62" spans="1:10" ht="15" thickBot="1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</row>
    <row r="63" spans="1:10" ht="15" thickBot="1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</row>
    <row r="64" spans="1:10" ht="15" thickBot="1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</row>
    <row r="65" spans="1:10" ht="15" thickBot="1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</row>
    <row r="66" spans="1:10" ht="15" thickBot="1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</row>
    <row r="67" spans="1:10" ht="15" thickBot="1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</row>
    <row r="68" spans="1:10" ht="29.4" thickBot="1">
      <c r="A68" s="3" t="s">
        <v>92</v>
      </c>
      <c r="B68" s="3"/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</row>
    <row r="69" spans="1:10" ht="29.4" thickBot="1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</row>
    <row r="70" spans="1:10" ht="15" thickBot="1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</row>
    <row r="71" spans="1:10" ht="15" thickBot="1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</row>
    <row r="72" spans="1:10" ht="29.4" thickBot="1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</row>
    <row r="73" spans="1:10" ht="29.4" thickBot="1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</row>
    <row r="74" spans="1:10" ht="29.4" thickBot="1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</row>
    <row r="75" spans="1:10" ht="29.4" thickBot="1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</row>
    <row r="76" spans="1:10" ht="15" thickBot="1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</row>
    <row r="77" spans="1:10" ht="29.4" thickBot="1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</row>
    <row r="78" spans="1:10" ht="15" thickBot="1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</row>
    <row r="79" spans="1:10" ht="29.4" thickBot="1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</row>
    <row r="80" spans="1:10" ht="29.4" thickBot="1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</row>
    <row r="81" spans="1:10" ht="15" thickBot="1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</row>
    <row r="82" spans="1:10" ht="29.4" thickBot="1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</row>
    <row r="83" spans="1:10" ht="15" thickBot="1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</row>
    <row r="84" spans="1:10" ht="15" thickBot="1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3"/>
      <c r="J84" s="3">
        <v>339.51</v>
      </c>
    </row>
    <row r="85" spans="1:10" ht="29.4" thickBot="1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</row>
    <row r="86" spans="1:10" ht="29.4" thickBot="1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</row>
    <row r="87" spans="1:10" ht="15" thickBot="1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</row>
    <row r="88" spans="1:10" ht="15" thickBot="1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</row>
    <row r="89" spans="1:10" ht="15" thickBot="1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</row>
    <row r="90" spans="1:10" ht="15" thickBot="1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</row>
    <row r="91" spans="1:10" ht="29.4" thickBot="1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</row>
    <row r="92" spans="1:10" ht="29.4" thickBot="1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</row>
    <row r="93" spans="1:10" ht="29.4" thickBot="1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</row>
    <row r="94" spans="1:10" ht="29.4" thickBot="1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</row>
    <row r="95" spans="1:10" ht="15" thickBot="1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</row>
    <row r="96" spans="1:10" ht="29.4" thickBot="1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3"/>
      <c r="J96" s="3">
        <v>55.25</v>
      </c>
    </row>
    <row r="97" spans="1:10" ht="15" thickBot="1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</row>
    <row r="98" spans="1:10" ht="29.4" thickBot="1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</row>
    <row r="99" spans="1:10" ht="15" thickBot="1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</row>
    <row r="100" spans="1:10" ht="29.4" thickBot="1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</row>
    <row r="101" spans="1:10" ht="15" thickBot="1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</row>
    <row r="102" spans="1:10" ht="15" thickBot="1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</row>
    <row r="103" spans="1:10" ht="29.4" thickBot="1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</row>
    <row r="104" spans="1:10" ht="29.4" thickBot="1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</row>
    <row r="105" spans="1:10" ht="29.4" thickBot="1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</row>
    <row r="106" spans="1:10" ht="15" thickBot="1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</row>
    <row r="107" spans="1:10" ht="29.4" thickBot="1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</row>
    <row r="108" spans="1:10" ht="15" thickBot="1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</row>
    <row r="109" spans="1:10" ht="29.4" thickBot="1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</row>
    <row r="110" spans="1:10" ht="29.4" thickBot="1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</row>
    <row r="111" spans="1:10" ht="15" thickBot="1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</row>
    <row r="112" spans="1:10" ht="29.4" thickBot="1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</row>
    <row r="113" spans="1:10" ht="29.4" thickBot="1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</row>
    <row r="114" spans="1:10" ht="29.4" thickBot="1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</row>
    <row r="115" spans="1:10" ht="15" thickBot="1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</row>
    <row r="116" spans="1:10" ht="29.4" thickBot="1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</row>
    <row r="117" spans="1:10" ht="29.4" thickBot="1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</row>
    <row r="118" spans="1:10" ht="29.4" thickBot="1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</row>
    <row r="119" spans="1:10" ht="29.4" thickBot="1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</row>
    <row r="120" spans="1:10" ht="15" thickBot="1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</row>
    <row r="121" spans="1:10" ht="15" thickBot="1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</row>
    <row r="122" spans="1:10" ht="15" thickBot="1">
      <c r="A122" s="3" t="s">
        <v>146</v>
      </c>
      <c r="B122" s="3"/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</row>
    <row r="123" spans="1:10" ht="29.4" thickBot="1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</row>
    <row r="124" spans="1:10" ht="29.4" thickBot="1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</row>
    <row r="125" spans="1:10" ht="29.4" thickBot="1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</row>
    <row r="126" spans="1:10" ht="29.4" thickBot="1">
      <c r="A126" s="3" t="s">
        <v>150</v>
      </c>
      <c r="B126" s="3"/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</row>
    <row r="127" spans="1:10" ht="15" thickBot="1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</row>
    <row r="128" spans="1:10" ht="29.4" thickBot="1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</row>
    <row r="129" spans="1:10" ht="29.4" thickBot="1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</row>
    <row r="130" spans="1:10" ht="15" thickBot="1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</row>
    <row r="131" spans="1:10" ht="29.4" thickBot="1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</row>
    <row r="132" spans="1:10" ht="29.4" thickBot="1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</row>
    <row r="133" spans="1:10" ht="15" thickBot="1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</row>
    <row r="134" spans="1:10" ht="15" thickBot="1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</row>
    <row r="135" spans="1:10" ht="15" thickBot="1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3"/>
      <c r="I135" s="3">
        <v>268.45999999999998</v>
      </c>
      <c r="J135" s="3">
        <v>199.19</v>
      </c>
    </row>
    <row r="136" spans="1:10" ht="15" thickBot="1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</row>
    <row r="137" spans="1:10" ht="15" thickBot="1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</row>
    <row r="138" spans="1:10" ht="15" thickBot="1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</row>
    <row r="139" spans="1:10" ht="15" thickBot="1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</row>
    <row r="140" spans="1:10" ht="15" thickBot="1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</row>
    <row r="141" spans="1:10" ht="15" thickBot="1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</row>
    <row r="142" spans="1:10" ht="29.4" thickBot="1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</row>
    <row r="143" spans="1:10" ht="15" thickBot="1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</row>
    <row r="144" spans="1:10" ht="29.4" thickBot="1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</row>
    <row r="145" spans="1:10" ht="15" thickBot="1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</row>
    <row r="146" spans="1:10" ht="29.4" thickBot="1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</row>
    <row r="147" spans="1:10" ht="29.4" thickBot="1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</row>
    <row r="148" spans="1:10" ht="29.4" thickBot="1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</row>
    <row r="149" spans="1:10" ht="29.4" thickBot="1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</row>
    <row r="150" spans="1:10" ht="15" thickBot="1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</row>
    <row r="151" spans="1:10" ht="15" thickBot="1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</row>
    <row r="152" spans="1:10" ht="15" thickBot="1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</row>
    <row r="153" spans="1:10" ht="15" thickBot="1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</row>
    <row r="154" spans="1:10" ht="15" thickBot="1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</row>
    <row r="155" spans="1:10" ht="15" thickBot="1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</row>
    <row r="156" spans="1:10" ht="15" thickBot="1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</row>
    <row r="157" spans="1:10" ht="15" thickBot="1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</row>
    <row r="158" spans="1:10" ht="15" thickBot="1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</row>
    <row r="159" spans="1:10" ht="15" thickBot="1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</row>
    <row r="160" spans="1:10" ht="15" thickBot="1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</row>
    <row r="161" spans="1:10" ht="15" thickBot="1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3"/>
      <c r="J161" s="3">
        <v>220.75</v>
      </c>
    </row>
    <row r="162" spans="1:10" ht="29.4" thickBot="1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</row>
    <row r="163" spans="1:10" ht="15" thickBot="1">
      <c r="A163" s="3" t="s">
        <v>187</v>
      </c>
      <c r="B163" s="3" t="s">
        <v>22</v>
      </c>
      <c r="C163" s="3" t="s">
        <v>31</v>
      </c>
      <c r="D163" s="3"/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</row>
    <row r="164" spans="1:10" ht="15" thickBot="1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</row>
    <row r="165" spans="1:10" ht="15" thickBot="1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</row>
    <row r="166" spans="1:10" ht="15" thickBot="1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</row>
    <row r="167" spans="1:10" ht="29.4" thickBot="1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</row>
    <row r="168" spans="1:10" ht="29.4" thickBot="1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</row>
    <row r="169" spans="1:10" ht="29.4" thickBot="1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</row>
    <row r="170" spans="1:10" ht="15" thickBot="1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</row>
    <row r="171" spans="1:10" ht="15" thickBot="1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</row>
    <row r="172" spans="1:10" ht="29.4" thickBot="1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</row>
    <row r="173" spans="1:10" ht="15" thickBot="1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</row>
    <row r="174" spans="1:10" ht="29.4" thickBot="1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</row>
    <row r="175" spans="1:10" ht="15" thickBot="1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</row>
    <row r="176" spans="1:10" ht="15" thickBot="1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</row>
    <row r="177" spans="1:10" ht="29.4" thickBot="1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</row>
    <row r="178" spans="1:10" ht="15" thickBot="1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</row>
    <row r="179" spans="1:10" ht="29.4" thickBot="1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</row>
    <row r="180" spans="1:10" ht="15" thickBot="1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</row>
    <row r="181" spans="1:10" ht="29.4" thickBot="1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</row>
    <row r="182" spans="1:10" ht="15" thickBot="1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</row>
    <row r="183" spans="1:10" ht="15" thickBot="1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</row>
    <row r="184" spans="1:10" ht="15" thickBot="1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</row>
    <row r="185" spans="1:10" ht="15" thickBot="1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</row>
    <row r="186" spans="1:10" ht="29.4" thickBot="1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</row>
    <row r="187" spans="1:10" ht="15" thickBot="1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</row>
    <row r="188" spans="1:10" ht="15" thickBot="1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</row>
    <row r="189" spans="1:10" ht="15" thickBot="1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</row>
    <row r="190" spans="1:10" ht="29.4" thickBot="1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</row>
    <row r="191" spans="1:10" ht="15" thickBot="1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</row>
    <row r="192" spans="1:10" ht="15" thickBot="1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</row>
    <row r="193" spans="1:10" ht="15" thickBot="1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</row>
    <row r="194" spans="1:10" ht="29.4" thickBot="1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</row>
    <row r="195" spans="1:10" ht="15" thickBot="1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</row>
    <row r="196" spans="1:10" ht="29.4" thickBot="1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</row>
    <row r="197" spans="1:10" ht="15" thickBot="1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</row>
    <row r="198" spans="1:10" ht="15" thickBot="1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</row>
    <row r="199" spans="1:10" ht="15" thickBot="1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</row>
    <row r="200" spans="1:10" ht="29.4" thickBot="1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</row>
    <row r="201" spans="1:10" ht="29.4" thickBot="1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</row>
    <row r="202" spans="1:10" ht="15" thickBot="1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</row>
    <row r="203" spans="1:10" ht="15" thickBot="1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</row>
    <row r="204" spans="1:10" ht="15" thickBot="1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3"/>
      <c r="I204" s="3">
        <v>407.81</v>
      </c>
      <c r="J204" s="3">
        <v>351.95</v>
      </c>
    </row>
    <row r="205" spans="1:10" ht="29.4" thickBot="1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</row>
    <row r="206" spans="1:10" ht="29.4" thickBot="1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</row>
    <row r="207" spans="1:10" ht="29.4" thickBot="1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</row>
    <row r="208" spans="1:10" ht="29.4" thickBot="1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</row>
    <row r="209" spans="1:10" ht="29.4" thickBot="1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</row>
    <row r="210" spans="1:10" ht="15" thickBot="1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</row>
    <row r="211" spans="1:10" ht="15" thickBot="1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</row>
    <row r="212" spans="1:10" ht="15" thickBot="1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</row>
    <row r="213" spans="1:10" ht="29.4" thickBot="1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</row>
    <row r="214" spans="1:10" ht="15" thickBot="1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</row>
    <row r="215" spans="1:10" ht="15" thickBot="1">
      <c r="A215" s="3" t="s">
        <v>239</v>
      </c>
      <c r="B215" s="3" t="s">
        <v>11</v>
      </c>
      <c r="C215" s="3" t="s">
        <v>50</v>
      </c>
      <c r="D215" s="3"/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</row>
    <row r="216" spans="1:10" ht="15" thickBot="1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</row>
    <row r="217" spans="1:10" ht="29.4" thickBot="1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</row>
    <row r="218" spans="1:10" ht="15" thickBot="1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</row>
    <row r="219" spans="1:10" ht="29.4" thickBot="1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</row>
    <row r="220" spans="1:10" ht="29.4" thickBot="1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</row>
    <row r="221" spans="1:10" ht="15" thickBot="1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</row>
    <row r="222" spans="1:10" ht="29.4" thickBot="1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</row>
    <row r="223" spans="1:10" ht="29.4" thickBot="1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</row>
    <row r="224" spans="1:10" ht="15" thickBot="1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</row>
    <row r="225" spans="1:10" ht="15" thickBot="1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</row>
    <row r="226" spans="1:10" ht="29.4" thickBot="1">
      <c r="A226" s="3" t="s">
        <v>250</v>
      </c>
      <c r="B226" s="3"/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</row>
    <row r="227" spans="1:10" ht="29.4" thickBot="1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</row>
    <row r="228" spans="1:10" ht="15" thickBot="1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</row>
    <row r="229" spans="1:10" ht="29.4" thickBot="1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</row>
    <row r="230" spans="1:10" ht="15" thickBot="1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</row>
    <row r="231" spans="1:10" ht="15" thickBot="1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</row>
    <row r="232" spans="1:10" ht="15" thickBot="1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3"/>
      <c r="I232" s="3">
        <v>49.37</v>
      </c>
      <c r="J232" s="3">
        <v>39.32</v>
      </c>
    </row>
    <row r="233" spans="1:10" ht="15" thickBot="1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</row>
    <row r="234" spans="1:10" ht="29.4" thickBot="1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</row>
    <row r="235" spans="1:10" ht="15" thickBot="1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</row>
    <row r="236" spans="1:10" ht="15" thickBot="1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</row>
    <row r="237" spans="1:10" ht="15" thickBot="1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</row>
    <row r="238" spans="1:10" ht="15" thickBot="1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</row>
    <row r="239" spans="1:10" ht="15" thickBot="1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</row>
    <row r="240" spans="1:10" ht="15" thickBot="1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</row>
    <row r="241" spans="1:10" ht="29.4" thickBot="1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</row>
    <row r="242" spans="1:10" ht="15" thickBot="1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</row>
    <row r="243" spans="1:10" ht="15" thickBot="1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</row>
    <row r="244" spans="1:10" ht="15" thickBot="1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</row>
    <row r="245" spans="1:10" ht="15" thickBot="1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</row>
    <row r="246" spans="1:10" ht="29.4" thickBot="1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</row>
    <row r="247" spans="1:10" ht="29.4" thickBot="1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</row>
    <row r="248" spans="1:10" ht="15" thickBot="1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</row>
    <row r="249" spans="1:10" ht="15" thickBot="1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</row>
    <row r="250" spans="1:10" ht="29.4" thickBot="1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</row>
    <row r="251" spans="1:10" ht="29.4" thickBot="1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</row>
    <row r="252" spans="1:10" ht="15" thickBot="1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</row>
    <row r="253" spans="1:10" ht="15" thickBot="1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</row>
    <row r="254" spans="1:10" ht="29.4" thickBot="1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</row>
    <row r="255" spans="1:10" ht="29.4" thickBot="1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3"/>
      <c r="I255" s="3">
        <v>298.8</v>
      </c>
      <c r="J255" s="3">
        <v>333.41</v>
      </c>
    </row>
    <row r="256" spans="1:10" ht="29.4" thickBot="1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</row>
    <row r="257" spans="1:10" ht="15" thickBot="1">
      <c r="A257" s="3" t="s">
        <v>281</v>
      </c>
      <c r="B257" s="3" t="s">
        <v>17</v>
      </c>
      <c r="C257" s="3" t="s">
        <v>12</v>
      </c>
      <c r="D257" s="3"/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</row>
    <row r="258" spans="1:10" ht="29.4" thickBot="1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</row>
    <row r="259" spans="1:10" ht="15" thickBot="1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</row>
    <row r="260" spans="1:10" ht="15" thickBot="1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</row>
    <row r="261" spans="1:10" ht="15" thickBot="1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3"/>
      <c r="J261" s="3">
        <v>337.1</v>
      </c>
    </row>
    <row r="262" spans="1:10" ht="29.4" thickBot="1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</row>
    <row r="263" spans="1:10" ht="29.4" thickBot="1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</row>
    <row r="264" spans="1:10" ht="15" thickBot="1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</row>
    <row r="265" spans="1:10" ht="15" thickBot="1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3"/>
      <c r="J265" s="3">
        <v>155.38</v>
      </c>
    </row>
    <row r="266" spans="1:10" ht="15" thickBot="1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</row>
    <row r="267" spans="1:10" ht="29.4" thickBot="1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</row>
    <row r="268" spans="1:10" ht="15" thickBot="1">
      <c r="A268" s="3" t="s">
        <v>292</v>
      </c>
      <c r="B268" s="3" t="s">
        <v>22</v>
      </c>
      <c r="C268" s="3" t="s">
        <v>18</v>
      </c>
      <c r="D268" s="3"/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</row>
    <row r="269" spans="1:10" ht="15" thickBot="1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</row>
    <row r="270" spans="1:10" ht="15" thickBot="1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</row>
    <row r="271" spans="1:10" ht="29.4" thickBot="1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</row>
    <row r="272" spans="1:10" ht="29.4" thickBot="1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</row>
    <row r="273" spans="1:10" ht="15" thickBot="1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</row>
    <row r="274" spans="1:10" ht="15" thickBot="1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</row>
    <row r="275" spans="1:10" ht="15" thickBot="1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</row>
    <row r="276" spans="1:10" ht="15" thickBot="1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</row>
    <row r="277" spans="1:10" ht="15" thickBot="1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</row>
    <row r="278" spans="1:10" ht="29.4" thickBot="1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</row>
    <row r="279" spans="1:10" ht="29.4" thickBot="1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</row>
    <row r="280" spans="1:10" ht="29.4" thickBot="1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</row>
    <row r="281" spans="1:10" ht="29.4" thickBot="1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</row>
    <row r="282" spans="1:10" ht="29.4" thickBot="1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</row>
    <row r="283" spans="1:10" ht="29.4" thickBot="1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</row>
    <row r="284" spans="1:10" ht="15" thickBot="1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</row>
    <row r="285" spans="1:10" ht="15" thickBot="1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</row>
    <row r="286" spans="1:10" ht="29.4" thickBot="1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</row>
    <row r="287" spans="1:10" ht="15" thickBot="1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</row>
    <row r="288" spans="1:10" ht="15" thickBot="1">
      <c r="A288" s="3" t="s">
        <v>312</v>
      </c>
      <c r="B288" s="3" t="s">
        <v>11</v>
      </c>
      <c r="C288" s="3" t="s">
        <v>12</v>
      </c>
      <c r="D288" s="3"/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</row>
    <row r="289" spans="1:10" ht="29.4" thickBot="1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</row>
    <row r="290" spans="1:10" ht="15" thickBot="1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</row>
    <row r="291" spans="1:10" ht="15" thickBot="1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</row>
    <row r="292" spans="1:10" ht="15" thickBot="1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3"/>
      <c r="J292" s="3">
        <v>278.77999999999997</v>
      </c>
    </row>
    <row r="293" spans="1:10" ht="15" thickBot="1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3"/>
      <c r="I293" s="3">
        <v>173.84</v>
      </c>
      <c r="J293" s="3">
        <v>298.88</v>
      </c>
    </row>
    <row r="294" spans="1:10" ht="15" thickBot="1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</row>
    <row r="295" spans="1:10" ht="15" thickBot="1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</row>
    <row r="296" spans="1:10" ht="29.4" thickBot="1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</row>
    <row r="297" spans="1:10" ht="15" thickBot="1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</row>
    <row r="298" spans="1:10" ht="29.4" thickBot="1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3"/>
      <c r="I298" s="3">
        <v>387.45</v>
      </c>
      <c r="J298" s="3">
        <v>150.63999999999999</v>
      </c>
    </row>
    <row r="299" spans="1:10" ht="15" thickBot="1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</row>
    <row r="300" spans="1:10" ht="15" thickBot="1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</row>
    <row r="301" spans="1:10" ht="15" thickBot="1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</row>
    <row r="302" spans="1:10" ht="15" thickBot="1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</row>
    <row r="303" spans="1:10" ht="29.4" thickBot="1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</row>
    <row r="304" spans="1:10" ht="15" thickBot="1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</row>
    <row r="305" spans="1:10" ht="29.4" thickBot="1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</row>
    <row r="306" spans="1:10" ht="15" thickBot="1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</row>
    <row r="307" spans="1:10" ht="15" thickBot="1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</row>
    <row r="308" spans="1:10" ht="15" thickBot="1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</row>
    <row r="309" spans="1:10" ht="15" thickBot="1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</row>
    <row r="310" spans="1:10" ht="15" thickBot="1">
      <c r="A310" s="3" t="s">
        <v>334</v>
      </c>
      <c r="B310" s="3" t="s">
        <v>22</v>
      </c>
      <c r="C310" s="3" t="s">
        <v>12</v>
      </c>
      <c r="D310" s="3"/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</row>
    <row r="311" spans="1:10" ht="15" thickBot="1">
      <c r="A311" s="3" t="s">
        <v>335</v>
      </c>
      <c r="B311" s="3" t="s">
        <v>17</v>
      </c>
      <c r="C311" s="3" t="s">
        <v>31</v>
      </c>
      <c r="D311" s="3"/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</row>
    <row r="312" spans="1:10" ht="15" thickBot="1">
      <c r="A312" s="3" t="s">
        <v>336</v>
      </c>
      <c r="B312" s="3" t="s">
        <v>48</v>
      </c>
      <c r="C312" s="3" t="s">
        <v>50</v>
      </c>
      <c r="D312" s="3"/>
      <c r="E312" s="3" t="s">
        <v>14</v>
      </c>
      <c r="F312" s="3" t="s">
        <v>28</v>
      </c>
      <c r="G312" s="4">
        <v>45234</v>
      </c>
      <c r="H312" s="3">
        <v>157</v>
      </c>
      <c r="I312" s="3"/>
      <c r="J312" s="3">
        <v>274.99</v>
      </c>
    </row>
    <row r="313" spans="1:10" ht="15" thickBot="1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</row>
    <row r="314" spans="1:10" ht="29.4" thickBot="1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</row>
    <row r="315" spans="1:10" ht="15" thickBot="1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</row>
    <row r="316" spans="1:10" ht="29.4" thickBot="1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</row>
    <row r="317" spans="1:10" ht="15" thickBot="1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</row>
    <row r="318" spans="1:10" ht="15" thickBot="1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3"/>
      <c r="I318" s="3">
        <v>192.35</v>
      </c>
      <c r="J318" s="3">
        <v>227.09</v>
      </c>
    </row>
    <row r="319" spans="1:10" ht="29.4" thickBot="1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</row>
    <row r="320" spans="1:10" ht="15" thickBot="1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</row>
    <row r="321" spans="1:10" ht="15" thickBot="1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3"/>
      <c r="I321" s="3">
        <v>225.94</v>
      </c>
      <c r="J321" s="3">
        <v>280.7</v>
      </c>
    </row>
    <row r="322" spans="1:10" ht="29.4" thickBot="1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</row>
    <row r="323" spans="1:10" ht="15" thickBot="1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</row>
    <row r="324" spans="1:10" ht="15" thickBot="1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</row>
    <row r="325" spans="1:10" ht="29.4" thickBot="1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</row>
    <row r="326" spans="1:10" ht="15" thickBot="1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</row>
    <row r="327" spans="1:10" ht="15" thickBot="1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</row>
    <row r="328" spans="1:10" ht="15" thickBot="1">
      <c r="A328" s="3" t="s">
        <v>352</v>
      </c>
      <c r="B328" s="3" t="s">
        <v>48</v>
      </c>
      <c r="C328" s="3" t="s">
        <v>18</v>
      </c>
      <c r="D328" s="3"/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</row>
    <row r="329" spans="1:10" ht="29.4" thickBot="1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</row>
    <row r="330" spans="1:10" ht="15" thickBot="1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</row>
    <row r="331" spans="1:10" ht="15" thickBot="1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</row>
    <row r="332" spans="1:10" ht="29.4" thickBot="1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3"/>
      <c r="I332" s="3">
        <v>5.61</v>
      </c>
      <c r="J332" s="3">
        <v>193.4</v>
      </c>
    </row>
    <row r="333" spans="1:10" ht="29.4" thickBot="1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</row>
    <row r="334" spans="1:10" ht="29.4" thickBot="1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</row>
    <row r="335" spans="1:10" ht="29.4" thickBot="1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</row>
    <row r="336" spans="1:10" ht="29.4" thickBot="1">
      <c r="A336" s="3" t="s">
        <v>360</v>
      </c>
      <c r="B336" s="3"/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</row>
    <row r="337" spans="1:10" ht="15" thickBot="1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</row>
    <row r="338" spans="1:10" ht="15" thickBot="1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</row>
    <row r="339" spans="1:10" ht="29.4" thickBot="1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</row>
    <row r="340" spans="1:10" ht="29.4" thickBot="1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</row>
    <row r="341" spans="1:10" ht="15" thickBot="1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</row>
    <row r="342" spans="1:10" ht="15" thickBot="1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</row>
    <row r="343" spans="1:10" ht="15" thickBot="1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</row>
    <row r="344" spans="1:10" ht="29.4" thickBot="1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</row>
    <row r="345" spans="1:10" ht="15" thickBot="1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</row>
    <row r="346" spans="1:10" ht="29.4" thickBot="1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</row>
    <row r="347" spans="1:10" ht="15" thickBot="1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</row>
    <row r="348" spans="1:10" ht="15" thickBot="1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</row>
    <row r="349" spans="1:10" ht="15" thickBot="1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</row>
    <row r="350" spans="1:10" ht="15" thickBot="1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</row>
    <row r="351" spans="1:10" ht="29.4" thickBot="1">
      <c r="A351" s="3" t="s">
        <v>375</v>
      </c>
      <c r="B351" s="3"/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</row>
    <row r="352" spans="1:10" ht="15" thickBot="1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</row>
    <row r="353" spans="1:10" ht="29.4" thickBot="1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</row>
    <row r="354" spans="1:10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 s="5">
        <v>425</v>
      </c>
      <c r="I354" s="5">
        <v>174.13</v>
      </c>
      <c r="J354" s="5">
        <v>315.27999999999997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ABA4-FDEB-4323-9F07-B48F6B71ADB4}">
  <dimension ref="A1:I353"/>
  <sheetViews>
    <sheetView topLeftCell="B1" workbookViewId="0">
      <selection activeCell="H5" sqref="H5"/>
    </sheetView>
  </sheetViews>
  <sheetFormatPr defaultRowHeight="14.4"/>
  <cols>
    <col min="1" max="1" width="11" customWidth="1"/>
    <col min="2" max="2" width="11.33203125" customWidth="1"/>
    <col min="3" max="3" width="10" bestFit="1" customWidth="1"/>
    <col min="4" max="4" width="19.77734375" bestFit="1" customWidth="1"/>
    <col min="7" max="7" width="13.88671875" customWidth="1"/>
    <col min="8" max="8" width="19.33203125" customWidth="1"/>
    <col min="9" max="9" width="19.44140625" bestFit="1" customWidth="1"/>
  </cols>
  <sheetData>
    <row r="1" spans="1:9" ht="15" thickBot="1"/>
    <row r="2" spans="1:9" ht="15" thickBot="1">
      <c r="A2" s="23" t="s">
        <v>8</v>
      </c>
      <c r="B2" s="20" t="s">
        <v>7</v>
      </c>
      <c r="C2" s="10" t="s">
        <v>415</v>
      </c>
      <c r="D2" s="10" t="s">
        <v>420</v>
      </c>
      <c r="G2" s="37" t="s">
        <v>421</v>
      </c>
      <c r="H2" s="37" t="s">
        <v>422</v>
      </c>
      <c r="I2" s="37" t="s">
        <v>423</v>
      </c>
    </row>
    <row r="3" spans="1:9" ht="15" thickBot="1">
      <c r="A3" s="24">
        <v>152.91999999999999</v>
      </c>
      <c r="B3" s="21">
        <v>235</v>
      </c>
      <c r="C3" s="10">
        <f>A3*B3</f>
        <v>35936.199999999997</v>
      </c>
      <c r="D3" s="10">
        <f>Table20[[#This Row],[Sales]]+Table20[[#This Row],[Units Sold]]</f>
        <v>36171.199999999997</v>
      </c>
      <c r="G3" s="38">
        <f>SUM(Table20[Sales])</f>
        <v>21381624.959999993</v>
      </c>
      <c r="H3" s="38">
        <f>AVERAGE(Table20[Sales])</f>
        <v>61090.357028571409</v>
      </c>
      <c r="I3" s="38">
        <f>SUM(Table20[Units Sold])</f>
        <v>87007</v>
      </c>
    </row>
    <row r="4" spans="1:9" ht="15" thickBot="1">
      <c r="A4" s="25">
        <v>467.92</v>
      </c>
      <c r="B4" s="12">
        <v>341</v>
      </c>
      <c r="C4" s="10">
        <f t="shared" ref="C4:C67" si="0">A4*B4</f>
        <v>159560.72</v>
      </c>
      <c r="D4" s="10">
        <f>Table20[[#This Row],[Sales]]+Table20[[#This Row],[Units Sold]]</f>
        <v>159901.72</v>
      </c>
    </row>
    <row r="5" spans="1:9" ht="15" thickBot="1">
      <c r="A5" s="24">
        <v>473.94</v>
      </c>
      <c r="B5" s="21">
        <v>179</v>
      </c>
      <c r="C5" s="10">
        <f t="shared" si="0"/>
        <v>84835.26</v>
      </c>
      <c r="D5" s="10">
        <f>Table20[[#This Row],[Sales]]+Table20[[#This Row],[Units Sold]]</f>
        <v>85014.26</v>
      </c>
    </row>
    <row r="6" spans="1:9" ht="15" thickBot="1">
      <c r="A6" s="25">
        <v>314.52999999999997</v>
      </c>
      <c r="B6" s="12">
        <v>18</v>
      </c>
      <c r="C6" s="10">
        <f t="shared" si="0"/>
        <v>5661.5399999999991</v>
      </c>
      <c r="D6" s="10">
        <f>Table20[[#This Row],[Sales]]+Table20[[#This Row],[Units Sold]]</f>
        <v>5679.5399999999991</v>
      </c>
    </row>
    <row r="7" spans="1:9" ht="15" thickBot="1">
      <c r="A7" s="24">
        <v>392.79</v>
      </c>
      <c r="B7" s="21">
        <v>472</v>
      </c>
      <c r="C7" s="10">
        <f t="shared" si="0"/>
        <v>185396.88</v>
      </c>
      <c r="D7" s="10">
        <f>Table20[[#This Row],[Sales]]+Table20[[#This Row],[Units Sold]]</f>
        <v>185868.88</v>
      </c>
    </row>
    <row r="8" spans="1:9" ht="15" thickBot="1">
      <c r="A8" s="25">
        <v>308.07</v>
      </c>
      <c r="B8" s="12">
        <v>49</v>
      </c>
      <c r="C8" s="10">
        <f t="shared" si="0"/>
        <v>15095.43</v>
      </c>
      <c r="D8" s="10">
        <f>Table20[[#This Row],[Sales]]+Table20[[#This Row],[Units Sold]]</f>
        <v>15144.43</v>
      </c>
    </row>
    <row r="9" spans="1:9" ht="15" thickBot="1">
      <c r="A9" s="24">
        <v>244.78</v>
      </c>
      <c r="B9" s="21">
        <v>34</v>
      </c>
      <c r="C9" s="10">
        <f t="shared" si="0"/>
        <v>8322.52</v>
      </c>
      <c r="D9" s="10">
        <f>Table20[[#This Row],[Sales]]+Table20[[#This Row],[Units Sold]]</f>
        <v>8356.52</v>
      </c>
    </row>
    <row r="10" spans="1:9" ht="15" thickBot="1">
      <c r="A10" s="25">
        <v>332.11</v>
      </c>
      <c r="B10" s="12">
        <v>270</v>
      </c>
      <c r="C10" s="10">
        <f t="shared" si="0"/>
        <v>89669.7</v>
      </c>
      <c r="D10" s="10">
        <f>Table20[[#This Row],[Sales]]+Table20[[#This Row],[Units Sold]]</f>
        <v>89939.7</v>
      </c>
    </row>
    <row r="11" spans="1:9" ht="15" thickBot="1">
      <c r="A11" s="24">
        <v>278.74</v>
      </c>
      <c r="B11" s="21">
        <v>404</v>
      </c>
      <c r="C11" s="10">
        <f t="shared" si="0"/>
        <v>112610.96</v>
      </c>
      <c r="D11" s="10">
        <f>Table20[[#This Row],[Sales]]+Table20[[#This Row],[Units Sold]]</f>
        <v>113014.96</v>
      </c>
    </row>
    <row r="12" spans="1:9" ht="15" thickBot="1">
      <c r="A12" s="25">
        <v>300.75</v>
      </c>
      <c r="B12" s="12">
        <v>452</v>
      </c>
      <c r="C12" s="10">
        <f t="shared" si="0"/>
        <v>135939</v>
      </c>
      <c r="D12" s="10">
        <f>Table20[[#This Row],[Sales]]+Table20[[#This Row],[Units Sold]]</f>
        <v>136391</v>
      </c>
    </row>
    <row r="13" spans="1:9" ht="15" thickBot="1">
      <c r="A13" s="24">
        <v>393</v>
      </c>
      <c r="B13" s="21">
        <v>235</v>
      </c>
      <c r="C13" s="10">
        <f t="shared" si="0"/>
        <v>92355</v>
      </c>
      <c r="D13" s="10">
        <f>Table20[[#This Row],[Sales]]+Table20[[#This Row],[Units Sold]]</f>
        <v>92590</v>
      </c>
    </row>
    <row r="14" spans="1:9" ht="15" thickBot="1">
      <c r="A14" s="25">
        <v>243.05</v>
      </c>
      <c r="B14" s="12">
        <v>481</v>
      </c>
      <c r="C14" s="10">
        <f t="shared" si="0"/>
        <v>116907.05</v>
      </c>
      <c r="D14" s="10">
        <f>Table20[[#This Row],[Sales]]+Table20[[#This Row],[Units Sold]]</f>
        <v>117388.05</v>
      </c>
    </row>
    <row r="15" spans="1:9" ht="15" thickBot="1">
      <c r="A15" s="24">
        <v>25.17</v>
      </c>
      <c r="B15" s="21">
        <v>133</v>
      </c>
      <c r="C15" s="10">
        <f t="shared" si="0"/>
        <v>3347.61</v>
      </c>
      <c r="D15" s="10">
        <f>Table20[[#This Row],[Sales]]+Table20[[#This Row],[Units Sold]]</f>
        <v>3480.61</v>
      </c>
    </row>
    <row r="16" spans="1:9" ht="15" thickBot="1">
      <c r="A16" s="25">
        <v>86.18</v>
      </c>
      <c r="B16" s="12">
        <v>472</v>
      </c>
      <c r="C16" s="10">
        <f t="shared" si="0"/>
        <v>40676.960000000006</v>
      </c>
      <c r="D16" s="10">
        <f>Table20[[#This Row],[Sales]]+Table20[[#This Row],[Units Sold]]</f>
        <v>41148.960000000006</v>
      </c>
    </row>
    <row r="17" spans="1:4" ht="15" thickBot="1">
      <c r="A17" s="24">
        <v>222.11</v>
      </c>
      <c r="B17" s="21">
        <v>47</v>
      </c>
      <c r="C17" s="10">
        <f t="shared" si="0"/>
        <v>10439.17</v>
      </c>
      <c r="D17" s="10">
        <f>Table20[[#This Row],[Sales]]+Table20[[#This Row],[Units Sold]]</f>
        <v>10486.17</v>
      </c>
    </row>
    <row r="18" spans="1:4" ht="15" thickBot="1">
      <c r="A18" s="25">
        <v>363.79</v>
      </c>
      <c r="B18" s="12">
        <v>337</v>
      </c>
      <c r="C18" s="10">
        <f t="shared" si="0"/>
        <v>122597.23000000001</v>
      </c>
      <c r="D18" s="10">
        <f>Table20[[#This Row],[Sales]]+Table20[[#This Row],[Units Sold]]</f>
        <v>122934.23000000001</v>
      </c>
    </row>
    <row r="19" spans="1:4" ht="15" thickBot="1">
      <c r="A19" s="24">
        <v>298.67</v>
      </c>
      <c r="B19" s="21">
        <v>260</v>
      </c>
      <c r="C19" s="10">
        <f t="shared" si="0"/>
        <v>77654.2</v>
      </c>
      <c r="D19" s="10">
        <f>Table20[[#This Row],[Sales]]+Table20[[#This Row],[Units Sold]]</f>
        <v>77914.2</v>
      </c>
    </row>
    <row r="20" spans="1:4" ht="15" thickBot="1">
      <c r="A20" s="25">
        <v>326.89999999999998</v>
      </c>
      <c r="B20" s="12">
        <v>398</v>
      </c>
      <c r="C20" s="10">
        <f t="shared" si="0"/>
        <v>130106.2</v>
      </c>
      <c r="D20" s="10">
        <f>Table20[[#This Row],[Sales]]+Table20[[#This Row],[Units Sold]]</f>
        <v>130504.2</v>
      </c>
    </row>
    <row r="21" spans="1:4" ht="15" thickBot="1">
      <c r="A21" s="24">
        <v>242.24</v>
      </c>
      <c r="B21" s="21">
        <v>185</v>
      </c>
      <c r="C21" s="10">
        <f t="shared" si="0"/>
        <v>44814.400000000001</v>
      </c>
      <c r="D21" s="10">
        <f>Table20[[#This Row],[Sales]]+Table20[[#This Row],[Units Sold]]</f>
        <v>44999.4</v>
      </c>
    </row>
    <row r="22" spans="1:4" ht="15" thickBot="1">
      <c r="A22" s="25">
        <v>309.79000000000002</v>
      </c>
      <c r="B22" s="12">
        <v>99</v>
      </c>
      <c r="C22" s="10">
        <f t="shared" si="0"/>
        <v>30669.210000000003</v>
      </c>
      <c r="D22" s="10">
        <f>Table20[[#This Row],[Sales]]+Table20[[#This Row],[Units Sold]]</f>
        <v>30768.210000000003</v>
      </c>
    </row>
    <row r="23" spans="1:4" ht="15" thickBot="1">
      <c r="A23" s="24">
        <v>167.86</v>
      </c>
      <c r="B23" s="21">
        <v>411</v>
      </c>
      <c r="C23" s="10">
        <f t="shared" si="0"/>
        <v>68990.460000000006</v>
      </c>
      <c r="D23" s="10">
        <f>Table20[[#This Row],[Sales]]+Table20[[#This Row],[Units Sold]]</f>
        <v>69401.460000000006</v>
      </c>
    </row>
    <row r="24" spans="1:4" ht="15" thickBot="1">
      <c r="A24" s="25">
        <v>237.74</v>
      </c>
      <c r="B24" s="12">
        <v>463</v>
      </c>
      <c r="C24" s="10">
        <f t="shared" si="0"/>
        <v>110073.62000000001</v>
      </c>
      <c r="D24" s="10">
        <f>Table20[[#This Row],[Sales]]+Table20[[#This Row],[Units Sold]]</f>
        <v>110536.62000000001</v>
      </c>
    </row>
    <row r="25" spans="1:4" ht="15" thickBot="1">
      <c r="A25" s="24">
        <v>373.42</v>
      </c>
      <c r="B25" s="21">
        <v>46</v>
      </c>
      <c r="C25" s="10">
        <f t="shared" si="0"/>
        <v>17177.32</v>
      </c>
      <c r="D25" s="10">
        <f>Table20[[#This Row],[Sales]]+Table20[[#This Row],[Units Sold]]</f>
        <v>17223.32</v>
      </c>
    </row>
    <row r="26" spans="1:4" ht="15" thickBot="1">
      <c r="A26" s="25">
        <v>436.56</v>
      </c>
      <c r="B26" s="12">
        <v>325</v>
      </c>
      <c r="C26" s="10">
        <f t="shared" si="0"/>
        <v>141882</v>
      </c>
      <c r="D26" s="10">
        <f>Table20[[#This Row],[Sales]]+Table20[[#This Row],[Units Sold]]</f>
        <v>142207</v>
      </c>
    </row>
    <row r="27" spans="1:4" ht="15" thickBot="1">
      <c r="A27" s="24">
        <v>219.66</v>
      </c>
      <c r="B27" s="21">
        <v>185</v>
      </c>
      <c r="C27" s="10">
        <f t="shared" si="0"/>
        <v>40637.1</v>
      </c>
      <c r="D27" s="10">
        <f>Table20[[#This Row],[Sales]]+Table20[[#This Row],[Units Sold]]</f>
        <v>40822.1</v>
      </c>
    </row>
    <row r="28" spans="1:4" ht="15" thickBot="1">
      <c r="A28" s="25">
        <v>26.61</v>
      </c>
      <c r="B28" s="12">
        <v>470</v>
      </c>
      <c r="C28" s="10">
        <f t="shared" si="0"/>
        <v>12506.699999999999</v>
      </c>
      <c r="D28" s="10">
        <f>Table20[[#This Row],[Sales]]+Table20[[#This Row],[Units Sold]]</f>
        <v>12976.699999999999</v>
      </c>
    </row>
    <row r="29" spans="1:4" ht="15" thickBot="1">
      <c r="A29" s="24">
        <v>85.03</v>
      </c>
      <c r="B29" s="21">
        <v>293</v>
      </c>
      <c r="C29" s="10">
        <f t="shared" si="0"/>
        <v>24913.79</v>
      </c>
      <c r="D29" s="10">
        <f>Table20[[#This Row],[Sales]]+Table20[[#This Row],[Units Sold]]</f>
        <v>25206.79</v>
      </c>
    </row>
    <row r="30" spans="1:4" ht="15" thickBot="1">
      <c r="A30" s="25"/>
      <c r="B30" s="12">
        <v>462</v>
      </c>
      <c r="C30" s="10">
        <f t="shared" si="0"/>
        <v>0</v>
      </c>
      <c r="D30" s="10">
        <f>Table20[[#This Row],[Sales]]+Table20[[#This Row],[Units Sold]]</f>
        <v>462</v>
      </c>
    </row>
    <row r="31" spans="1:4" ht="15" thickBot="1">
      <c r="A31" s="24">
        <v>328.37</v>
      </c>
      <c r="B31" s="21">
        <v>470</v>
      </c>
      <c r="C31" s="10">
        <f t="shared" si="0"/>
        <v>154333.9</v>
      </c>
      <c r="D31" s="10">
        <f>Table20[[#This Row],[Sales]]+Table20[[#This Row],[Units Sold]]</f>
        <v>154803.9</v>
      </c>
    </row>
    <row r="32" spans="1:4" ht="15" thickBot="1">
      <c r="A32" s="25">
        <v>169.5</v>
      </c>
      <c r="B32" s="12">
        <v>90</v>
      </c>
      <c r="C32" s="10">
        <f t="shared" si="0"/>
        <v>15255</v>
      </c>
      <c r="D32" s="10">
        <f>Table20[[#This Row],[Sales]]+Table20[[#This Row],[Units Sold]]</f>
        <v>15345</v>
      </c>
    </row>
    <row r="33" spans="1:4" ht="15" thickBot="1">
      <c r="A33" s="24">
        <v>273.52999999999997</v>
      </c>
      <c r="B33" s="21">
        <v>123</v>
      </c>
      <c r="C33" s="10">
        <f t="shared" si="0"/>
        <v>33644.189999999995</v>
      </c>
      <c r="D33" s="10">
        <f>Table20[[#This Row],[Sales]]+Table20[[#This Row],[Units Sold]]</f>
        <v>33767.189999999995</v>
      </c>
    </row>
    <row r="34" spans="1:4" ht="15" thickBot="1">
      <c r="A34" s="25">
        <v>249.17</v>
      </c>
      <c r="B34" s="12">
        <v>49</v>
      </c>
      <c r="C34" s="10">
        <f t="shared" si="0"/>
        <v>12209.33</v>
      </c>
      <c r="D34" s="10">
        <f>Table20[[#This Row],[Sales]]+Table20[[#This Row],[Units Sold]]</f>
        <v>12258.33</v>
      </c>
    </row>
    <row r="35" spans="1:4" ht="15" thickBot="1">
      <c r="A35" s="24">
        <v>45.36</v>
      </c>
      <c r="B35" s="21">
        <v>310</v>
      </c>
      <c r="C35" s="10">
        <f t="shared" si="0"/>
        <v>14061.6</v>
      </c>
      <c r="D35" s="10">
        <f>Table20[[#This Row],[Sales]]+Table20[[#This Row],[Units Sold]]</f>
        <v>14371.6</v>
      </c>
    </row>
    <row r="36" spans="1:4" ht="15" thickBot="1">
      <c r="A36" s="25">
        <v>204.61</v>
      </c>
      <c r="B36" s="12">
        <v>233</v>
      </c>
      <c r="C36" s="10">
        <f t="shared" si="0"/>
        <v>47674.130000000005</v>
      </c>
      <c r="D36" s="10">
        <f>Table20[[#This Row],[Sales]]+Table20[[#This Row],[Units Sold]]</f>
        <v>47907.130000000005</v>
      </c>
    </row>
    <row r="37" spans="1:4" ht="15" thickBot="1">
      <c r="A37" s="24">
        <v>114.18</v>
      </c>
      <c r="B37" s="21">
        <v>327</v>
      </c>
      <c r="C37" s="10">
        <f t="shared" si="0"/>
        <v>37336.86</v>
      </c>
      <c r="D37" s="10">
        <f>Table20[[#This Row],[Sales]]+Table20[[#This Row],[Units Sold]]</f>
        <v>37663.86</v>
      </c>
    </row>
    <row r="38" spans="1:4" ht="15" thickBot="1">
      <c r="A38" s="25">
        <v>212.11</v>
      </c>
      <c r="B38" s="12">
        <v>358</v>
      </c>
      <c r="C38" s="10">
        <f t="shared" si="0"/>
        <v>75935.38</v>
      </c>
      <c r="D38" s="10">
        <f>Table20[[#This Row],[Sales]]+Table20[[#This Row],[Units Sold]]</f>
        <v>76293.38</v>
      </c>
    </row>
    <row r="39" spans="1:4" ht="15" thickBot="1">
      <c r="A39" s="24"/>
      <c r="B39" s="21">
        <v>124</v>
      </c>
      <c r="C39" s="10">
        <f t="shared" si="0"/>
        <v>0</v>
      </c>
      <c r="D39" s="10">
        <f>Table20[[#This Row],[Sales]]+Table20[[#This Row],[Units Sold]]</f>
        <v>124</v>
      </c>
    </row>
    <row r="40" spans="1:4" ht="15" thickBot="1">
      <c r="A40" s="25">
        <v>421.02</v>
      </c>
      <c r="B40" s="12">
        <v>195</v>
      </c>
      <c r="C40" s="10">
        <f t="shared" si="0"/>
        <v>82098.899999999994</v>
      </c>
      <c r="D40" s="10">
        <f>Table20[[#This Row],[Sales]]+Table20[[#This Row],[Units Sold]]</f>
        <v>82293.899999999994</v>
      </c>
    </row>
    <row r="41" spans="1:4" ht="15" thickBot="1">
      <c r="A41" s="24">
        <v>91.23</v>
      </c>
      <c r="B41" s="21"/>
      <c r="C41" s="10">
        <f t="shared" si="0"/>
        <v>0</v>
      </c>
      <c r="D41" s="10">
        <f>Table20[[#This Row],[Sales]]+Table20[[#This Row],[Units Sold]]</f>
        <v>0</v>
      </c>
    </row>
    <row r="42" spans="1:4" ht="15" thickBot="1">
      <c r="A42" s="25">
        <v>480.59</v>
      </c>
      <c r="B42" s="12">
        <v>65</v>
      </c>
      <c r="C42" s="10">
        <f t="shared" si="0"/>
        <v>31238.35</v>
      </c>
      <c r="D42" s="10">
        <f>Table20[[#This Row],[Sales]]+Table20[[#This Row],[Units Sold]]</f>
        <v>31303.35</v>
      </c>
    </row>
    <row r="43" spans="1:4" ht="15" thickBot="1">
      <c r="A43" s="24">
        <v>210.87</v>
      </c>
      <c r="B43" s="21">
        <v>49</v>
      </c>
      <c r="C43" s="10">
        <f t="shared" si="0"/>
        <v>10332.630000000001</v>
      </c>
      <c r="D43" s="10">
        <f>Table20[[#This Row],[Sales]]+Table20[[#This Row],[Units Sold]]</f>
        <v>10381.630000000001</v>
      </c>
    </row>
    <row r="44" spans="1:4" ht="15" thickBot="1">
      <c r="A44" s="25">
        <v>423.89</v>
      </c>
      <c r="B44" s="12">
        <v>363</v>
      </c>
      <c r="C44" s="10">
        <f t="shared" si="0"/>
        <v>153872.07</v>
      </c>
      <c r="D44" s="10">
        <f>Table20[[#This Row],[Sales]]+Table20[[#This Row],[Units Sold]]</f>
        <v>154235.07</v>
      </c>
    </row>
    <row r="45" spans="1:4" ht="15" thickBot="1">
      <c r="A45" s="24">
        <v>316.24</v>
      </c>
      <c r="B45" s="21">
        <v>49</v>
      </c>
      <c r="C45" s="10">
        <f t="shared" si="0"/>
        <v>15495.76</v>
      </c>
      <c r="D45" s="10">
        <f>Table20[[#This Row],[Sales]]+Table20[[#This Row],[Units Sold]]</f>
        <v>15544.76</v>
      </c>
    </row>
    <row r="46" spans="1:4" ht="15" thickBot="1">
      <c r="A46" s="25">
        <v>369</v>
      </c>
      <c r="B46" s="12">
        <v>356</v>
      </c>
      <c r="C46" s="10">
        <f t="shared" si="0"/>
        <v>131364</v>
      </c>
      <c r="D46" s="10">
        <f>Table20[[#This Row],[Sales]]+Table20[[#This Row],[Units Sold]]</f>
        <v>131720</v>
      </c>
    </row>
    <row r="47" spans="1:4" ht="15" thickBot="1">
      <c r="A47" s="24"/>
      <c r="B47" s="21">
        <v>470</v>
      </c>
      <c r="C47" s="10">
        <f t="shared" si="0"/>
        <v>0</v>
      </c>
      <c r="D47" s="10">
        <f>Table20[[#This Row],[Sales]]+Table20[[#This Row],[Units Sold]]</f>
        <v>470</v>
      </c>
    </row>
    <row r="48" spans="1:4" ht="15" thickBot="1">
      <c r="A48" s="25">
        <v>254.9</v>
      </c>
      <c r="B48" s="12">
        <v>246</v>
      </c>
      <c r="C48" s="10">
        <f t="shared" si="0"/>
        <v>62705.4</v>
      </c>
      <c r="D48" s="10">
        <f>Table20[[#This Row],[Sales]]+Table20[[#This Row],[Units Sold]]</f>
        <v>62951.4</v>
      </c>
    </row>
    <row r="49" spans="1:4" ht="15" thickBot="1">
      <c r="A49" s="24">
        <v>273.93</v>
      </c>
      <c r="B49" s="21">
        <v>298</v>
      </c>
      <c r="C49" s="10">
        <f t="shared" si="0"/>
        <v>81631.14</v>
      </c>
      <c r="D49" s="10">
        <f>Table20[[#This Row],[Sales]]+Table20[[#This Row],[Units Sold]]</f>
        <v>81929.14</v>
      </c>
    </row>
    <row r="50" spans="1:4" ht="15" thickBot="1">
      <c r="A50" s="25">
        <v>259.43</v>
      </c>
      <c r="B50" s="12">
        <v>271</v>
      </c>
      <c r="C50" s="10">
        <f t="shared" si="0"/>
        <v>70305.53</v>
      </c>
      <c r="D50" s="10">
        <f>Table20[[#This Row],[Sales]]+Table20[[#This Row],[Units Sold]]</f>
        <v>70576.53</v>
      </c>
    </row>
    <row r="51" spans="1:4" ht="15" thickBot="1">
      <c r="A51" s="24">
        <v>296.08999999999997</v>
      </c>
      <c r="B51" s="21">
        <v>225</v>
      </c>
      <c r="C51" s="10">
        <f t="shared" si="0"/>
        <v>66620.25</v>
      </c>
      <c r="D51" s="10">
        <f>Table20[[#This Row],[Sales]]+Table20[[#This Row],[Units Sold]]</f>
        <v>66845.25</v>
      </c>
    </row>
    <row r="52" spans="1:4" ht="15" thickBot="1">
      <c r="A52" s="25">
        <v>19.55</v>
      </c>
      <c r="B52" s="12">
        <v>156</v>
      </c>
      <c r="C52" s="10">
        <f t="shared" si="0"/>
        <v>3049.8</v>
      </c>
      <c r="D52" s="10">
        <f>Table20[[#This Row],[Sales]]+Table20[[#This Row],[Units Sold]]</f>
        <v>3205.8</v>
      </c>
    </row>
    <row r="53" spans="1:4" ht="15" thickBot="1">
      <c r="A53" s="24">
        <v>200.78</v>
      </c>
      <c r="B53" s="21">
        <v>345</v>
      </c>
      <c r="C53" s="10">
        <f t="shared" si="0"/>
        <v>69269.100000000006</v>
      </c>
      <c r="D53" s="10">
        <f>Table20[[#This Row],[Sales]]+Table20[[#This Row],[Units Sold]]</f>
        <v>69614.100000000006</v>
      </c>
    </row>
    <row r="54" spans="1:4" ht="15" thickBot="1">
      <c r="A54" s="25">
        <v>305.06</v>
      </c>
      <c r="B54" s="12">
        <v>177</v>
      </c>
      <c r="C54" s="10">
        <f t="shared" si="0"/>
        <v>53995.62</v>
      </c>
      <c r="D54" s="10">
        <f>Table20[[#This Row],[Sales]]+Table20[[#This Row],[Units Sold]]</f>
        <v>54172.62</v>
      </c>
    </row>
    <row r="55" spans="1:4" ht="15" thickBot="1">
      <c r="A55" s="24">
        <v>300.87</v>
      </c>
      <c r="B55" s="21">
        <v>101</v>
      </c>
      <c r="C55" s="10">
        <f t="shared" si="0"/>
        <v>30387.87</v>
      </c>
      <c r="D55" s="10">
        <f>Table20[[#This Row],[Sales]]+Table20[[#This Row],[Units Sold]]</f>
        <v>30488.87</v>
      </c>
    </row>
    <row r="56" spans="1:4" ht="15" thickBot="1">
      <c r="A56" s="25">
        <v>397.51</v>
      </c>
      <c r="B56" s="12">
        <v>362</v>
      </c>
      <c r="C56" s="10">
        <f t="shared" si="0"/>
        <v>143898.62</v>
      </c>
      <c r="D56" s="10">
        <f>Table20[[#This Row],[Sales]]+Table20[[#This Row],[Units Sold]]</f>
        <v>144260.62</v>
      </c>
    </row>
    <row r="57" spans="1:4" ht="15" thickBot="1">
      <c r="A57" s="24">
        <v>329.23</v>
      </c>
      <c r="B57" s="21">
        <v>68</v>
      </c>
      <c r="C57" s="10">
        <f t="shared" si="0"/>
        <v>22387.64</v>
      </c>
      <c r="D57" s="10">
        <f>Table20[[#This Row],[Sales]]+Table20[[#This Row],[Units Sold]]</f>
        <v>22455.64</v>
      </c>
    </row>
    <row r="58" spans="1:4" ht="15" thickBot="1">
      <c r="A58" s="25">
        <v>496.11</v>
      </c>
      <c r="B58" s="12">
        <v>68</v>
      </c>
      <c r="C58" s="10">
        <f t="shared" si="0"/>
        <v>33735.480000000003</v>
      </c>
      <c r="D58" s="10">
        <f>Table20[[#This Row],[Sales]]+Table20[[#This Row],[Units Sold]]</f>
        <v>33803.480000000003</v>
      </c>
    </row>
    <row r="59" spans="1:4" ht="15" thickBot="1">
      <c r="A59" s="24">
        <v>145.51</v>
      </c>
      <c r="B59" s="21">
        <v>313</v>
      </c>
      <c r="C59" s="10">
        <f t="shared" si="0"/>
        <v>45544.63</v>
      </c>
      <c r="D59" s="10">
        <f>Table20[[#This Row],[Sales]]+Table20[[#This Row],[Units Sold]]</f>
        <v>45857.63</v>
      </c>
    </row>
    <row r="60" spans="1:4" ht="15" thickBot="1">
      <c r="A60" s="25">
        <v>182.78</v>
      </c>
      <c r="B60" s="12">
        <v>178</v>
      </c>
      <c r="C60" s="10">
        <f t="shared" si="0"/>
        <v>32534.84</v>
      </c>
      <c r="D60" s="10">
        <f>Table20[[#This Row],[Sales]]+Table20[[#This Row],[Units Sold]]</f>
        <v>32712.84</v>
      </c>
    </row>
    <row r="61" spans="1:4" ht="15" thickBot="1">
      <c r="A61" s="24">
        <v>195</v>
      </c>
      <c r="B61" s="21">
        <v>278</v>
      </c>
      <c r="C61" s="10">
        <f t="shared" si="0"/>
        <v>54210</v>
      </c>
      <c r="D61" s="10">
        <f>Table20[[#This Row],[Sales]]+Table20[[#This Row],[Units Sold]]</f>
        <v>54488</v>
      </c>
    </row>
    <row r="62" spans="1:4" ht="15" thickBot="1">
      <c r="A62" s="25">
        <v>235.58</v>
      </c>
      <c r="B62" s="12">
        <v>372</v>
      </c>
      <c r="C62" s="10">
        <f t="shared" si="0"/>
        <v>87635.760000000009</v>
      </c>
      <c r="D62" s="10">
        <f>Table20[[#This Row],[Sales]]+Table20[[#This Row],[Units Sold]]</f>
        <v>88007.760000000009</v>
      </c>
    </row>
    <row r="63" spans="1:4" ht="15" thickBot="1">
      <c r="A63" s="24">
        <v>418.82</v>
      </c>
      <c r="B63" s="21">
        <v>54</v>
      </c>
      <c r="C63" s="10">
        <f t="shared" si="0"/>
        <v>22616.28</v>
      </c>
      <c r="D63" s="10">
        <f>Table20[[#This Row],[Sales]]+Table20[[#This Row],[Units Sold]]</f>
        <v>22670.28</v>
      </c>
    </row>
    <row r="64" spans="1:4" ht="15" thickBot="1">
      <c r="A64" s="25">
        <v>121.72</v>
      </c>
      <c r="B64" s="12">
        <v>354</v>
      </c>
      <c r="C64" s="10">
        <f t="shared" si="0"/>
        <v>43088.88</v>
      </c>
      <c r="D64" s="10">
        <f>Table20[[#This Row],[Sales]]+Table20[[#This Row],[Units Sold]]</f>
        <v>43442.879999999997</v>
      </c>
    </row>
    <row r="65" spans="1:4" ht="15" thickBot="1">
      <c r="A65" s="24">
        <v>389.12</v>
      </c>
      <c r="B65" s="21">
        <v>190</v>
      </c>
      <c r="C65" s="10">
        <f t="shared" si="0"/>
        <v>73932.800000000003</v>
      </c>
      <c r="D65" s="10">
        <f>Table20[[#This Row],[Sales]]+Table20[[#This Row],[Units Sold]]</f>
        <v>74122.8</v>
      </c>
    </row>
    <row r="66" spans="1:4" ht="15" thickBot="1">
      <c r="A66" s="25">
        <v>205.63</v>
      </c>
      <c r="B66" s="12">
        <v>179</v>
      </c>
      <c r="C66" s="10">
        <f t="shared" si="0"/>
        <v>36807.769999999997</v>
      </c>
      <c r="D66" s="10">
        <f>Table20[[#This Row],[Sales]]+Table20[[#This Row],[Units Sold]]</f>
        <v>36986.769999999997</v>
      </c>
    </row>
    <row r="67" spans="1:4" ht="15" thickBot="1">
      <c r="A67" s="24">
        <v>302.92</v>
      </c>
      <c r="B67" s="21">
        <v>365</v>
      </c>
      <c r="C67" s="10">
        <f t="shared" si="0"/>
        <v>110565.8</v>
      </c>
      <c r="D67" s="10">
        <f>Table20[[#This Row],[Sales]]+Table20[[#This Row],[Units Sold]]</f>
        <v>110930.8</v>
      </c>
    </row>
    <row r="68" spans="1:4" ht="15" thickBot="1">
      <c r="A68" s="25">
        <v>318.11</v>
      </c>
      <c r="B68" s="12">
        <v>200</v>
      </c>
      <c r="C68" s="10">
        <f t="shared" ref="C68:C131" si="1">A68*B68</f>
        <v>63622</v>
      </c>
      <c r="D68" s="10">
        <f>Table20[[#This Row],[Sales]]+Table20[[#This Row],[Units Sold]]</f>
        <v>63822</v>
      </c>
    </row>
    <row r="69" spans="1:4" ht="15" thickBot="1">
      <c r="A69" s="24">
        <v>189.56</v>
      </c>
      <c r="B69" s="21">
        <v>164</v>
      </c>
      <c r="C69" s="10">
        <f t="shared" si="1"/>
        <v>31087.84</v>
      </c>
      <c r="D69" s="10">
        <f>Table20[[#This Row],[Sales]]+Table20[[#This Row],[Units Sold]]</f>
        <v>31251.84</v>
      </c>
    </row>
    <row r="70" spans="1:4" ht="15" thickBot="1">
      <c r="A70" s="25">
        <v>258.74</v>
      </c>
      <c r="B70" s="12">
        <v>431</v>
      </c>
      <c r="C70" s="10">
        <f t="shared" si="1"/>
        <v>111516.94</v>
      </c>
      <c r="D70" s="10">
        <f>Table20[[#This Row],[Sales]]+Table20[[#This Row],[Units Sold]]</f>
        <v>111947.94</v>
      </c>
    </row>
    <row r="71" spans="1:4" ht="15" thickBot="1">
      <c r="A71" s="24">
        <v>209.45</v>
      </c>
      <c r="B71" s="21">
        <v>197</v>
      </c>
      <c r="C71" s="10">
        <f t="shared" si="1"/>
        <v>41261.649999999994</v>
      </c>
      <c r="D71" s="10">
        <f>Table20[[#This Row],[Sales]]+Table20[[#This Row],[Units Sold]]</f>
        <v>41458.649999999994</v>
      </c>
    </row>
    <row r="72" spans="1:4" ht="15" thickBot="1">
      <c r="A72" s="25">
        <v>39.22</v>
      </c>
      <c r="B72" s="12">
        <v>16</v>
      </c>
      <c r="C72" s="10">
        <f t="shared" si="1"/>
        <v>627.52</v>
      </c>
      <c r="D72" s="10">
        <f>Table20[[#This Row],[Sales]]+Table20[[#This Row],[Units Sold]]</f>
        <v>643.52</v>
      </c>
    </row>
    <row r="73" spans="1:4" ht="15" thickBot="1">
      <c r="A73" s="24">
        <v>221.4</v>
      </c>
      <c r="B73" s="21">
        <v>142</v>
      </c>
      <c r="C73" s="10">
        <f t="shared" si="1"/>
        <v>31438.799999999999</v>
      </c>
      <c r="D73" s="10">
        <f>Table20[[#This Row],[Sales]]+Table20[[#This Row],[Units Sold]]</f>
        <v>31580.799999999999</v>
      </c>
    </row>
    <row r="74" spans="1:4" ht="15" thickBot="1">
      <c r="A74" s="25">
        <v>53.21</v>
      </c>
      <c r="B74" s="12">
        <v>244</v>
      </c>
      <c r="C74" s="10">
        <f t="shared" si="1"/>
        <v>12983.24</v>
      </c>
      <c r="D74" s="10">
        <f>Table20[[#This Row],[Sales]]+Table20[[#This Row],[Units Sold]]</f>
        <v>13227.24</v>
      </c>
    </row>
    <row r="75" spans="1:4" ht="15" thickBot="1">
      <c r="A75" s="24">
        <v>205.49</v>
      </c>
      <c r="B75" s="21">
        <v>54</v>
      </c>
      <c r="C75" s="10">
        <f t="shared" si="1"/>
        <v>11096.460000000001</v>
      </c>
      <c r="D75" s="10">
        <f>Table20[[#This Row],[Sales]]+Table20[[#This Row],[Units Sold]]</f>
        <v>11150.460000000001</v>
      </c>
    </row>
    <row r="76" spans="1:4" ht="15" thickBot="1">
      <c r="A76" s="25">
        <v>298.49</v>
      </c>
      <c r="B76" s="12">
        <v>323</v>
      </c>
      <c r="C76" s="10">
        <f t="shared" si="1"/>
        <v>96412.27</v>
      </c>
      <c r="D76" s="10">
        <f>Table20[[#This Row],[Sales]]+Table20[[#This Row],[Units Sold]]</f>
        <v>96735.27</v>
      </c>
    </row>
    <row r="77" spans="1:4" ht="15" thickBot="1">
      <c r="A77" s="24">
        <v>291.81</v>
      </c>
      <c r="B77" s="21">
        <v>258</v>
      </c>
      <c r="C77" s="10">
        <f t="shared" si="1"/>
        <v>75286.98</v>
      </c>
      <c r="D77" s="10">
        <f>Table20[[#This Row],[Sales]]+Table20[[#This Row],[Units Sold]]</f>
        <v>75544.98</v>
      </c>
    </row>
    <row r="78" spans="1:4" ht="15" thickBot="1">
      <c r="A78" s="25">
        <v>333</v>
      </c>
      <c r="B78" s="12">
        <v>40</v>
      </c>
      <c r="C78" s="10">
        <f t="shared" si="1"/>
        <v>13320</v>
      </c>
      <c r="D78" s="10">
        <f>Table20[[#This Row],[Sales]]+Table20[[#This Row],[Units Sold]]</f>
        <v>13360</v>
      </c>
    </row>
    <row r="79" spans="1:4" ht="15" thickBot="1">
      <c r="A79" s="24">
        <v>52.15</v>
      </c>
      <c r="B79" s="21">
        <v>32</v>
      </c>
      <c r="C79" s="10">
        <f t="shared" si="1"/>
        <v>1668.8</v>
      </c>
      <c r="D79" s="10">
        <f>Table20[[#This Row],[Sales]]+Table20[[#This Row],[Units Sold]]</f>
        <v>1700.8</v>
      </c>
    </row>
    <row r="80" spans="1:4" ht="15" thickBot="1">
      <c r="A80" s="25">
        <v>327.8</v>
      </c>
      <c r="B80" s="12">
        <v>435</v>
      </c>
      <c r="C80" s="10">
        <f t="shared" si="1"/>
        <v>142593</v>
      </c>
      <c r="D80" s="10">
        <f>Table20[[#This Row],[Sales]]+Table20[[#This Row],[Units Sold]]</f>
        <v>143028</v>
      </c>
    </row>
    <row r="81" spans="1:4" ht="15" thickBot="1">
      <c r="A81" s="24">
        <v>159.51</v>
      </c>
      <c r="B81" s="21">
        <v>403</v>
      </c>
      <c r="C81" s="10">
        <f t="shared" si="1"/>
        <v>64282.53</v>
      </c>
      <c r="D81" s="10">
        <f>Table20[[#This Row],[Sales]]+Table20[[#This Row],[Units Sold]]</f>
        <v>64685.53</v>
      </c>
    </row>
    <row r="82" spans="1:4" ht="15" thickBot="1">
      <c r="A82" s="25"/>
      <c r="B82" s="12">
        <v>169</v>
      </c>
      <c r="C82" s="10">
        <f t="shared" si="1"/>
        <v>0</v>
      </c>
      <c r="D82" s="10">
        <f>Table20[[#This Row],[Sales]]+Table20[[#This Row],[Units Sold]]</f>
        <v>169</v>
      </c>
    </row>
    <row r="83" spans="1:4" ht="15" thickBot="1">
      <c r="A83" s="24">
        <v>429.7</v>
      </c>
      <c r="B83" s="21">
        <v>372</v>
      </c>
      <c r="C83" s="10">
        <f t="shared" si="1"/>
        <v>159848.4</v>
      </c>
      <c r="D83" s="10">
        <f>Table20[[#This Row],[Sales]]+Table20[[#This Row],[Units Sold]]</f>
        <v>160220.4</v>
      </c>
    </row>
    <row r="84" spans="1:4" ht="15" thickBot="1">
      <c r="A84" s="25">
        <v>9.4700000000000006</v>
      </c>
      <c r="B84" s="12">
        <v>446</v>
      </c>
      <c r="C84" s="10">
        <f t="shared" si="1"/>
        <v>4223.62</v>
      </c>
      <c r="D84" s="10">
        <f>Table20[[#This Row],[Sales]]+Table20[[#This Row],[Units Sold]]</f>
        <v>4669.62</v>
      </c>
    </row>
    <row r="85" spans="1:4" ht="15" thickBot="1">
      <c r="A85" s="24">
        <v>296.26</v>
      </c>
      <c r="B85" s="21">
        <v>167</v>
      </c>
      <c r="C85" s="10">
        <f t="shared" si="1"/>
        <v>49475.42</v>
      </c>
      <c r="D85" s="10">
        <f>Table20[[#This Row],[Sales]]+Table20[[#This Row],[Units Sold]]</f>
        <v>49642.42</v>
      </c>
    </row>
    <row r="86" spans="1:4" ht="15" thickBot="1">
      <c r="A86" s="25">
        <v>301.36</v>
      </c>
      <c r="B86" s="12">
        <v>48</v>
      </c>
      <c r="C86" s="10">
        <f t="shared" si="1"/>
        <v>14465.28</v>
      </c>
      <c r="D86" s="10">
        <f>Table20[[#This Row],[Sales]]+Table20[[#This Row],[Units Sold]]</f>
        <v>14513.28</v>
      </c>
    </row>
    <row r="87" spans="1:4" ht="15" thickBot="1">
      <c r="A87" s="24">
        <v>201.35</v>
      </c>
      <c r="B87" s="21">
        <v>424</v>
      </c>
      <c r="C87" s="10">
        <f t="shared" si="1"/>
        <v>85372.4</v>
      </c>
      <c r="D87" s="10">
        <f>Table20[[#This Row],[Sales]]+Table20[[#This Row],[Units Sold]]</f>
        <v>85796.4</v>
      </c>
    </row>
    <row r="88" spans="1:4" ht="15" thickBot="1">
      <c r="A88" s="25">
        <v>122.33</v>
      </c>
      <c r="B88" s="12">
        <v>91</v>
      </c>
      <c r="C88" s="10">
        <f t="shared" si="1"/>
        <v>11132.03</v>
      </c>
      <c r="D88" s="10">
        <f>Table20[[#This Row],[Sales]]+Table20[[#This Row],[Units Sold]]</f>
        <v>11223.03</v>
      </c>
    </row>
    <row r="89" spans="1:4" ht="15" thickBot="1">
      <c r="A89" s="24">
        <v>121.16</v>
      </c>
      <c r="B89" s="21">
        <v>365</v>
      </c>
      <c r="C89" s="10">
        <f t="shared" si="1"/>
        <v>44223.4</v>
      </c>
      <c r="D89" s="10">
        <f>Table20[[#This Row],[Sales]]+Table20[[#This Row],[Units Sold]]</f>
        <v>44588.4</v>
      </c>
    </row>
    <row r="90" spans="1:4" ht="15" thickBot="1">
      <c r="A90" s="25">
        <v>442.44</v>
      </c>
      <c r="B90" s="12">
        <v>267</v>
      </c>
      <c r="C90" s="10">
        <f t="shared" si="1"/>
        <v>118131.48</v>
      </c>
      <c r="D90" s="10">
        <f>Table20[[#This Row],[Sales]]+Table20[[#This Row],[Units Sold]]</f>
        <v>118398.48</v>
      </c>
    </row>
    <row r="91" spans="1:4" ht="15" thickBot="1">
      <c r="A91" s="24">
        <v>223.8</v>
      </c>
      <c r="B91" s="21">
        <v>215</v>
      </c>
      <c r="C91" s="10">
        <f t="shared" si="1"/>
        <v>48117</v>
      </c>
      <c r="D91" s="10">
        <f>Table20[[#This Row],[Sales]]+Table20[[#This Row],[Units Sold]]</f>
        <v>48332</v>
      </c>
    </row>
    <row r="92" spans="1:4" ht="15" thickBot="1">
      <c r="A92" s="25">
        <v>168.79</v>
      </c>
      <c r="B92" s="12">
        <v>86</v>
      </c>
      <c r="C92" s="10">
        <f t="shared" si="1"/>
        <v>14515.939999999999</v>
      </c>
      <c r="D92" s="10">
        <f>Table20[[#This Row],[Sales]]+Table20[[#This Row],[Units Sold]]</f>
        <v>14601.939999999999</v>
      </c>
    </row>
    <row r="93" spans="1:4" ht="15" thickBot="1">
      <c r="A93" s="24">
        <v>227.14</v>
      </c>
      <c r="B93" s="21">
        <v>486</v>
      </c>
      <c r="C93" s="10">
        <f t="shared" si="1"/>
        <v>110390.04</v>
      </c>
      <c r="D93" s="10">
        <f>Table20[[#This Row],[Sales]]+Table20[[#This Row],[Units Sold]]</f>
        <v>110876.04</v>
      </c>
    </row>
    <row r="94" spans="1:4" ht="15" thickBot="1">
      <c r="A94" s="25"/>
      <c r="B94" s="12">
        <v>21</v>
      </c>
      <c r="C94" s="10">
        <f t="shared" si="1"/>
        <v>0</v>
      </c>
      <c r="D94" s="10">
        <f>Table20[[#This Row],[Sales]]+Table20[[#This Row],[Units Sold]]</f>
        <v>21</v>
      </c>
    </row>
    <row r="95" spans="1:4" ht="15" thickBot="1">
      <c r="A95" s="24">
        <v>77.150000000000006</v>
      </c>
      <c r="B95" s="21">
        <v>304</v>
      </c>
      <c r="C95" s="10">
        <f t="shared" si="1"/>
        <v>23453.600000000002</v>
      </c>
      <c r="D95" s="10">
        <f>Table20[[#This Row],[Sales]]+Table20[[#This Row],[Units Sold]]</f>
        <v>23757.600000000002</v>
      </c>
    </row>
    <row r="96" spans="1:4" ht="15" thickBot="1">
      <c r="A96" s="25">
        <v>227.47</v>
      </c>
      <c r="B96" s="12">
        <v>459</v>
      </c>
      <c r="C96" s="10">
        <f t="shared" si="1"/>
        <v>104408.73</v>
      </c>
      <c r="D96" s="10">
        <f>Table20[[#This Row],[Sales]]+Table20[[#This Row],[Units Sold]]</f>
        <v>104867.73</v>
      </c>
    </row>
    <row r="97" spans="1:4" ht="15" thickBot="1">
      <c r="A97" s="24">
        <v>296</v>
      </c>
      <c r="B97" s="21">
        <v>233</v>
      </c>
      <c r="C97" s="10">
        <f t="shared" si="1"/>
        <v>68968</v>
      </c>
      <c r="D97" s="10">
        <f>Table20[[#This Row],[Sales]]+Table20[[#This Row],[Units Sold]]</f>
        <v>69201</v>
      </c>
    </row>
    <row r="98" spans="1:4" ht="15" thickBot="1">
      <c r="A98" s="25">
        <v>474.55</v>
      </c>
      <c r="B98" s="12">
        <v>22</v>
      </c>
      <c r="C98" s="10">
        <f t="shared" si="1"/>
        <v>10440.1</v>
      </c>
      <c r="D98" s="10">
        <f>Table20[[#This Row],[Sales]]+Table20[[#This Row],[Units Sold]]</f>
        <v>10462.1</v>
      </c>
    </row>
    <row r="99" spans="1:4" ht="15" thickBot="1">
      <c r="A99" s="24">
        <v>130</v>
      </c>
      <c r="B99" s="21">
        <v>55</v>
      </c>
      <c r="C99" s="10">
        <f t="shared" si="1"/>
        <v>7150</v>
      </c>
      <c r="D99" s="10">
        <f>Table20[[#This Row],[Sales]]+Table20[[#This Row],[Units Sold]]</f>
        <v>7205</v>
      </c>
    </row>
    <row r="100" spans="1:4" ht="15" thickBot="1">
      <c r="A100" s="25">
        <v>182.83</v>
      </c>
      <c r="B100" s="12">
        <v>164</v>
      </c>
      <c r="C100" s="10">
        <f t="shared" si="1"/>
        <v>29984.120000000003</v>
      </c>
      <c r="D100" s="10">
        <f>Table20[[#This Row],[Sales]]+Table20[[#This Row],[Units Sold]]</f>
        <v>30148.120000000003</v>
      </c>
    </row>
    <row r="101" spans="1:4" ht="15" thickBot="1">
      <c r="A101" s="24">
        <v>192.78</v>
      </c>
      <c r="B101" s="21">
        <v>122</v>
      </c>
      <c r="C101" s="10">
        <f t="shared" si="1"/>
        <v>23519.16</v>
      </c>
      <c r="D101" s="10">
        <f>Table20[[#This Row],[Sales]]+Table20[[#This Row],[Units Sold]]</f>
        <v>23641.16</v>
      </c>
    </row>
    <row r="102" spans="1:4" ht="15" thickBot="1">
      <c r="A102" s="25">
        <v>304.74</v>
      </c>
      <c r="B102" s="12">
        <v>242</v>
      </c>
      <c r="C102" s="10">
        <f t="shared" si="1"/>
        <v>73747.08</v>
      </c>
      <c r="D102" s="10">
        <f>Table20[[#This Row],[Sales]]+Table20[[#This Row],[Units Sold]]</f>
        <v>73989.08</v>
      </c>
    </row>
    <row r="103" spans="1:4" ht="15" thickBot="1">
      <c r="A103" s="24">
        <v>181.58</v>
      </c>
      <c r="B103" s="21">
        <v>26</v>
      </c>
      <c r="C103" s="10">
        <f t="shared" si="1"/>
        <v>4721.08</v>
      </c>
      <c r="D103" s="10">
        <f>Table20[[#This Row],[Sales]]+Table20[[#This Row],[Units Sold]]</f>
        <v>4747.08</v>
      </c>
    </row>
    <row r="104" spans="1:4" ht="15" thickBot="1">
      <c r="A104" s="25">
        <v>269.08999999999997</v>
      </c>
      <c r="B104" s="12">
        <v>369</v>
      </c>
      <c r="C104" s="10">
        <f t="shared" si="1"/>
        <v>99294.209999999992</v>
      </c>
      <c r="D104" s="10">
        <f>Table20[[#This Row],[Sales]]+Table20[[#This Row],[Units Sold]]</f>
        <v>99663.209999999992</v>
      </c>
    </row>
    <row r="105" spans="1:4" ht="15" thickBot="1">
      <c r="A105" s="24">
        <v>391.99</v>
      </c>
      <c r="B105" s="21">
        <v>232</v>
      </c>
      <c r="C105" s="10">
        <f t="shared" si="1"/>
        <v>90941.680000000008</v>
      </c>
      <c r="D105" s="10">
        <f>Table20[[#This Row],[Sales]]+Table20[[#This Row],[Units Sold]]</f>
        <v>91173.680000000008</v>
      </c>
    </row>
    <row r="106" spans="1:4" ht="15" thickBot="1">
      <c r="A106" s="25">
        <v>354.17</v>
      </c>
      <c r="B106" s="12">
        <v>363</v>
      </c>
      <c r="C106" s="10">
        <f t="shared" si="1"/>
        <v>128563.71</v>
      </c>
      <c r="D106" s="10">
        <f>Table20[[#This Row],[Sales]]+Table20[[#This Row],[Units Sold]]</f>
        <v>128926.71</v>
      </c>
    </row>
    <row r="107" spans="1:4" ht="15" thickBot="1">
      <c r="A107" s="24">
        <v>225.95</v>
      </c>
      <c r="B107" s="21">
        <v>197</v>
      </c>
      <c r="C107" s="10">
        <f t="shared" si="1"/>
        <v>44512.149999999994</v>
      </c>
      <c r="D107" s="10">
        <f>Table20[[#This Row],[Sales]]+Table20[[#This Row],[Units Sold]]</f>
        <v>44709.149999999994</v>
      </c>
    </row>
    <row r="108" spans="1:4" ht="15" thickBot="1">
      <c r="A108" s="25">
        <v>432.79</v>
      </c>
      <c r="B108" s="12">
        <v>457</v>
      </c>
      <c r="C108" s="10">
        <f t="shared" si="1"/>
        <v>197785.03</v>
      </c>
      <c r="D108" s="10">
        <f>Table20[[#This Row],[Sales]]+Table20[[#This Row],[Units Sold]]</f>
        <v>198242.03</v>
      </c>
    </row>
    <row r="109" spans="1:4" ht="15" thickBot="1">
      <c r="A109" s="24">
        <v>281.27999999999997</v>
      </c>
      <c r="B109" s="21">
        <v>353</v>
      </c>
      <c r="C109" s="10">
        <f t="shared" si="1"/>
        <v>99291.839999999997</v>
      </c>
      <c r="D109" s="10">
        <f>Table20[[#This Row],[Sales]]+Table20[[#This Row],[Units Sold]]</f>
        <v>99644.84</v>
      </c>
    </row>
    <row r="110" spans="1:4" ht="15" thickBot="1">
      <c r="A110" s="25">
        <v>272.25</v>
      </c>
      <c r="B110" s="12">
        <v>374</v>
      </c>
      <c r="C110" s="10">
        <f t="shared" si="1"/>
        <v>101821.5</v>
      </c>
      <c r="D110" s="10">
        <f>Table20[[#This Row],[Sales]]+Table20[[#This Row],[Units Sold]]</f>
        <v>102195.5</v>
      </c>
    </row>
    <row r="111" spans="1:4" ht="15" thickBot="1">
      <c r="A111" s="24">
        <v>21.92</v>
      </c>
      <c r="B111" s="21">
        <v>172</v>
      </c>
      <c r="C111" s="10">
        <f t="shared" si="1"/>
        <v>3770.2400000000002</v>
      </c>
      <c r="D111" s="10">
        <f>Table20[[#This Row],[Sales]]+Table20[[#This Row],[Units Sold]]</f>
        <v>3942.2400000000002</v>
      </c>
    </row>
    <row r="112" spans="1:4" ht="15" thickBot="1">
      <c r="A112" s="25">
        <v>493.41</v>
      </c>
      <c r="B112" s="12">
        <v>335</v>
      </c>
      <c r="C112" s="10">
        <f t="shared" si="1"/>
        <v>165292.35</v>
      </c>
      <c r="D112" s="10">
        <f>Table20[[#This Row],[Sales]]+Table20[[#This Row],[Units Sold]]</f>
        <v>165627.35</v>
      </c>
    </row>
    <row r="113" spans="1:4" ht="15" thickBot="1">
      <c r="A113" s="24">
        <v>65.87</v>
      </c>
      <c r="B113" s="21">
        <v>476</v>
      </c>
      <c r="C113" s="10">
        <f t="shared" si="1"/>
        <v>31354.120000000003</v>
      </c>
      <c r="D113" s="10">
        <f>Table20[[#This Row],[Sales]]+Table20[[#This Row],[Units Sold]]</f>
        <v>31830.120000000003</v>
      </c>
    </row>
    <row r="114" spans="1:4" ht="15" thickBot="1">
      <c r="A114" s="25">
        <v>119.41</v>
      </c>
      <c r="B114" s="12">
        <v>423</v>
      </c>
      <c r="C114" s="10">
        <f t="shared" si="1"/>
        <v>50510.43</v>
      </c>
      <c r="D114" s="10">
        <f>Table20[[#This Row],[Sales]]+Table20[[#This Row],[Units Sold]]</f>
        <v>50933.43</v>
      </c>
    </row>
    <row r="115" spans="1:4" ht="15" thickBot="1">
      <c r="A115" s="24">
        <v>30.59</v>
      </c>
      <c r="B115" s="21">
        <v>464</v>
      </c>
      <c r="C115" s="10">
        <f t="shared" si="1"/>
        <v>14193.76</v>
      </c>
      <c r="D115" s="10">
        <f>Table20[[#This Row],[Sales]]+Table20[[#This Row],[Units Sold]]</f>
        <v>14657.76</v>
      </c>
    </row>
    <row r="116" spans="1:4" ht="15" thickBot="1">
      <c r="A116" s="25">
        <v>321.8</v>
      </c>
      <c r="B116" s="12">
        <v>83</v>
      </c>
      <c r="C116" s="10">
        <f t="shared" si="1"/>
        <v>26709.4</v>
      </c>
      <c r="D116" s="10">
        <f>Table20[[#This Row],[Sales]]+Table20[[#This Row],[Units Sold]]</f>
        <v>26792.400000000001</v>
      </c>
    </row>
    <row r="117" spans="1:4" ht="15" thickBot="1">
      <c r="A117" s="24">
        <v>116.23</v>
      </c>
      <c r="B117" s="21">
        <v>242</v>
      </c>
      <c r="C117" s="10">
        <f t="shared" si="1"/>
        <v>28127.66</v>
      </c>
      <c r="D117" s="10">
        <f>Table20[[#This Row],[Sales]]+Table20[[#This Row],[Units Sold]]</f>
        <v>28369.66</v>
      </c>
    </row>
    <row r="118" spans="1:4" ht="15" thickBot="1">
      <c r="A118" s="25">
        <v>94.11</v>
      </c>
      <c r="B118" s="12">
        <v>233</v>
      </c>
      <c r="C118" s="10">
        <f t="shared" si="1"/>
        <v>21927.63</v>
      </c>
      <c r="D118" s="10">
        <f>Table20[[#This Row],[Sales]]+Table20[[#This Row],[Units Sold]]</f>
        <v>22160.63</v>
      </c>
    </row>
    <row r="119" spans="1:4" ht="15" thickBot="1">
      <c r="A119" s="24">
        <v>48.84</v>
      </c>
      <c r="B119" s="21">
        <v>491</v>
      </c>
      <c r="C119" s="10">
        <f t="shared" si="1"/>
        <v>23980.440000000002</v>
      </c>
      <c r="D119" s="10">
        <f>Table20[[#This Row],[Sales]]+Table20[[#This Row],[Units Sold]]</f>
        <v>24471.440000000002</v>
      </c>
    </row>
    <row r="120" spans="1:4" ht="15" thickBot="1">
      <c r="A120" s="25">
        <v>56.14</v>
      </c>
      <c r="B120" s="12">
        <v>328</v>
      </c>
      <c r="C120" s="10">
        <f t="shared" si="1"/>
        <v>18413.920000000002</v>
      </c>
      <c r="D120" s="10">
        <f>Table20[[#This Row],[Sales]]+Table20[[#This Row],[Units Sold]]</f>
        <v>18741.920000000002</v>
      </c>
    </row>
    <row r="121" spans="1:4" ht="15" thickBot="1">
      <c r="A121" s="24">
        <v>294.41000000000003</v>
      </c>
      <c r="B121" s="21">
        <v>421</v>
      </c>
      <c r="C121" s="10">
        <f t="shared" si="1"/>
        <v>123946.61000000002</v>
      </c>
      <c r="D121" s="10">
        <f>Table20[[#This Row],[Sales]]+Table20[[#This Row],[Units Sold]]</f>
        <v>124367.61000000002</v>
      </c>
    </row>
    <row r="122" spans="1:4" ht="15" thickBot="1">
      <c r="A122" s="25">
        <v>345.66</v>
      </c>
      <c r="B122" s="12">
        <v>69</v>
      </c>
      <c r="C122" s="10">
        <f t="shared" si="1"/>
        <v>23850.54</v>
      </c>
      <c r="D122" s="10">
        <f>Table20[[#This Row],[Sales]]+Table20[[#This Row],[Units Sold]]</f>
        <v>23919.54</v>
      </c>
    </row>
    <row r="123" spans="1:4" ht="15" thickBot="1">
      <c r="A123" s="24">
        <v>201.7</v>
      </c>
      <c r="B123" s="21">
        <v>344</v>
      </c>
      <c r="C123" s="10">
        <f t="shared" si="1"/>
        <v>69384.800000000003</v>
      </c>
      <c r="D123" s="10">
        <f>Table20[[#This Row],[Sales]]+Table20[[#This Row],[Units Sold]]</f>
        <v>69728.800000000003</v>
      </c>
    </row>
    <row r="124" spans="1:4" ht="15" thickBot="1">
      <c r="A124" s="25">
        <v>242.55</v>
      </c>
      <c r="B124" s="12">
        <v>231</v>
      </c>
      <c r="C124" s="10">
        <f t="shared" si="1"/>
        <v>56029.05</v>
      </c>
      <c r="D124" s="10">
        <f>Table20[[#This Row],[Sales]]+Table20[[#This Row],[Units Sold]]</f>
        <v>56260.05</v>
      </c>
    </row>
    <row r="125" spans="1:4" ht="15" thickBot="1">
      <c r="A125" s="24">
        <v>344.55</v>
      </c>
      <c r="B125" s="21">
        <v>46</v>
      </c>
      <c r="C125" s="10">
        <f t="shared" si="1"/>
        <v>15849.300000000001</v>
      </c>
      <c r="D125" s="10">
        <f>Table20[[#This Row],[Sales]]+Table20[[#This Row],[Units Sold]]</f>
        <v>15895.300000000001</v>
      </c>
    </row>
    <row r="126" spans="1:4" ht="15" thickBot="1">
      <c r="A126" s="25">
        <v>13.6</v>
      </c>
      <c r="B126" s="12">
        <v>486</v>
      </c>
      <c r="C126" s="10">
        <f t="shared" si="1"/>
        <v>6609.5999999999995</v>
      </c>
      <c r="D126" s="10">
        <f>Table20[[#This Row],[Sales]]+Table20[[#This Row],[Units Sold]]</f>
        <v>7095.5999999999995</v>
      </c>
    </row>
    <row r="127" spans="1:4" ht="15" thickBot="1">
      <c r="A127" s="24">
        <v>164.95</v>
      </c>
      <c r="B127" s="21">
        <v>287</v>
      </c>
      <c r="C127" s="10">
        <f t="shared" si="1"/>
        <v>47340.649999999994</v>
      </c>
      <c r="D127" s="10">
        <f>Table20[[#This Row],[Sales]]+Table20[[#This Row],[Units Sold]]</f>
        <v>47627.649999999994</v>
      </c>
    </row>
    <row r="128" spans="1:4" ht="15" thickBot="1">
      <c r="A128" s="25">
        <v>486.68</v>
      </c>
      <c r="B128" s="12">
        <v>205</v>
      </c>
      <c r="C128" s="10">
        <f t="shared" si="1"/>
        <v>99769.4</v>
      </c>
      <c r="D128" s="10">
        <f>Table20[[#This Row],[Sales]]+Table20[[#This Row],[Units Sold]]</f>
        <v>99974.399999999994</v>
      </c>
    </row>
    <row r="129" spans="1:4" ht="15" thickBot="1">
      <c r="A129" s="24">
        <v>292.16000000000003</v>
      </c>
      <c r="B129" s="21">
        <v>413</v>
      </c>
      <c r="C129" s="10">
        <f t="shared" si="1"/>
        <v>120662.08000000002</v>
      </c>
      <c r="D129" s="10">
        <f>Table20[[#This Row],[Sales]]+Table20[[#This Row],[Units Sold]]</f>
        <v>121075.08000000002</v>
      </c>
    </row>
    <row r="130" spans="1:4" ht="15" thickBot="1">
      <c r="A130" s="25">
        <v>130.84</v>
      </c>
      <c r="B130" s="12">
        <v>361</v>
      </c>
      <c r="C130" s="10">
        <f t="shared" si="1"/>
        <v>47233.24</v>
      </c>
      <c r="D130" s="10">
        <f>Table20[[#This Row],[Sales]]+Table20[[#This Row],[Units Sold]]</f>
        <v>47594.239999999998</v>
      </c>
    </row>
    <row r="131" spans="1:4" ht="15" thickBot="1">
      <c r="A131" s="24">
        <v>263.26</v>
      </c>
      <c r="B131" s="21">
        <v>493</v>
      </c>
      <c r="C131" s="10">
        <f t="shared" si="1"/>
        <v>129787.18</v>
      </c>
      <c r="D131" s="10">
        <f>Table20[[#This Row],[Sales]]+Table20[[#This Row],[Units Sold]]</f>
        <v>130280.18</v>
      </c>
    </row>
    <row r="132" spans="1:4" ht="15" thickBot="1">
      <c r="A132" s="25">
        <v>174.61</v>
      </c>
      <c r="B132" s="12">
        <v>251</v>
      </c>
      <c r="C132" s="10">
        <f t="shared" ref="C132:C195" si="2">A132*B132</f>
        <v>43827.11</v>
      </c>
      <c r="D132" s="10">
        <f>Table20[[#This Row],[Sales]]+Table20[[#This Row],[Units Sold]]</f>
        <v>44078.11</v>
      </c>
    </row>
    <row r="133" spans="1:4" ht="15" thickBot="1">
      <c r="A133" s="24">
        <v>268.45999999999998</v>
      </c>
      <c r="B133" s="21"/>
      <c r="C133" s="10">
        <f t="shared" si="2"/>
        <v>0</v>
      </c>
      <c r="D133" s="10">
        <f>Table20[[#This Row],[Sales]]+Table20[[#This Row],[Units Sold]]</f>
        <v>0</v>
      </c>
    </row>
    <row r="134" spans="1:4" ht="15" thickBot="1">
      <c r="A134" s="25">
        <v>67.239999999999995</v>
      </c>
      <c r="B134" s="12">
        <v>228</v>
      </c>
      <c r="C134" s="10">
        <f t="shared" si="2"/>
        <v>15330.72</v>
      </c>
      <c r="D134" s="10">
        <f>Table20[[#This Row],[Sales]]+Table20[[#This Row],[Units Sold]]</f>
        <v>15558.72</v>
      </c>
    </row>
    <row r="135" spans="1:4" ht="15" thickBot="1">
      <c r="A135" s="24">
        <v>70.69</v>
      </c>
      <c r="B135" s="21">
        <v>201</v>
      </c>
      <c r="C135" s="10">
        <f t="shared" si="2"/>
        <v>14208.689999999999</v>
      </c>
      <c r="D135" s="10">
        <f>Table20[[#This Row],[Sales]]+Table20[[#This Row],[Units Sold]]</f>
        <v>14409.689999999999</v>
      </c>
    </row>
    <row r="136" spans="1:4" ht="15" thickBot="1">
      <c r="A136" s="25">
        <v>76.05</v>
      </c>
      <c r="B136" s="12">
        <v>26</v>
      </c>
      <c r="C136" s="10">
        <f t="shared" si="2"/>
        <v>1977.3</v>
      </c>
      <c r="D136" s="10">
        <f>Table20[[#This Row],[Sales]]+Table20[[#This Row],[Units Sold]]</f>
        <v>2003.3</v>
      </c>
    </row>
    <row r="137" spans="1:4" ht="15" thickBot="1">
      <c r="A137" s="24">
        <v>470.21</v>
      </c>
      <c r="B137" s="21">
        <v>21</v>
      </c>
      <c r="C137" s="10">
        <f t="shared" si="2"/>
        <v>9874.41</v>
      </c>
      <c r="D137" s="10">
        <f>Table20[[#This Row],[Sales]]+Table20[[#This Row],[Units Sold]]</f>
        <v>9895.41</v>
      </c>
    </row>
    <row r="138" spans="1:4" ht="15" thickBot="1">
      <c r="A138" s="25">
        <v>367.78</v>
      </c>
      <c r="B138" s="12">
        <v>415</v>
      </c>
      <c r="C138" s="10">
        <f t="shared" si="2"/>
        <v>152628.69999999998</v>
      </c>
      <c r="D138" s="10">
        <f>Table20[[#This Row],[Sales]]+Table20[[#This Row],[Units Sold]]</f>
        <v>153043.69999999998</v>
      </c>
    </row>
    <row r="139" spans="1:4" ht="15" thickBot="1">
      <c r="A139" s="24">
        <v>85.38</v>
      </c>
      <c r="B139" s="21">
        <v>410</v>
      </c>
      <c r="C139" s="10">
        <f t="shared" si="2"/>
        <v>35005.799999999996</v>
      </c>
      <c r="D139" s="10">
        <f>Table20[[#This Row],[Sales]]+Table20[[#This Row],[Units Sold]]</f>
        <v>35415.799999999996</v>
      </c>
    </row>
    <row r="140" spans="1:4" ht="15" thickBot="1">
      <c r="A140" s="25">
        <v>98.23</v>
      </c>
      <c r="B140" s="12">
        <v>403</v>
      </c>
      <c r="C140" s="10">
        <f t="shared" si="2"/>
        <v>39586.69</v>
      </c>
      <c r="D140" s="10">
        <f>Table20[[#This Row],[Sales]]+Table20[[#This Row],[Units Sold]]</f>
        <v>39989.69</v>
      </c>
    </row>
    <row r="141" spans="1:4" ht="15" thickBot="1">
      <c r="A141" s="24">
        <v>366.76</v>
      </c>
      <c r="B141" s="21">
        <v>383</v>
      </c>
      <c r="C141" s="10">
        <f t="shared" si="2"/>
        <v>140469.07999999999</v>
      </c>
      <c r="D141" s="10">
        <f>Table20[[#This Row],[Sales]]+Table20[[#This Row],[Units Sold]]</f>
        <v>140852.07999999999</v>
      </c>
    </row>
    <row r="142" spans="1:4" ht="15" thickBot="1">
      <c r="A142" s="25">
        <v>82.3</v>
      </c>
      <c r="B142" s="12">
        <v>202</v>
      </c>
      <c r="C142" s="10">
        <f t="shared" si="2"/>
        <v>16624.599999999999</v>
      </c>
      <c r="D142" s="10">
        <f>Table20[[#This Row],[Sales]]+Table20[[#This Row],[Units Sold]]</f>
        <v>16826.599999999999</v>
      </c>
    </row>
    <row r="143" spans="1:4" ht="15" thickBot="1">
      <c r="A143" s="24">
        <v>121.11</v>
      </c>
      <c r="B143" s="21">
        <v>31</v>
      </c>
      <c r="C143" s="10">
        <f t="shared" si="2"/>
        <v>3754.41</v>
      </c>
      <c r="D143" s="10">
        <f>Table20[[#This Row],[Sales]]+Table20[[#This Row],[Units Sold]]</f>
        <v>3785.41</v>
      </c>
    </row>
    <row r="144" spans="1:4" ht="15" thickBot="1">
      <c r="A144" s="25">
        <v>481.86</v>
      </c>
      <c r="B144" s="12">
        <v>483</v>
      </c>
      <c r="C144" s="10">
        <f t="shared" si="2"/>
        <v>232738.38</v>
      </c>
      <c r="D144" s="10">
        <f>Table20[[#This Row],[Sales]]+Table20[[#This Row],[Units Sold]]</f>
        <v>233221.38</v>
      </c>
    </row>
    <row r="145" spans="1:4" ht="15" thickBot="1">
      <c r="A145" s="24">
        <v>131.38</v>
      </c>
      <c r="B145" s="21">
        <v>129</v>
      </c>
      <c r="C145" s="10">
        <f t="shared" si="2"/>
        <v>16948.02</v>
      </c>
      <c r="D145" s="10">
        <f>Table20[[#This Row],[Sales]]+Table20[[#This Row],[Units Sold]]</f>
        <v>17077.02</v>
      </c>
    </row>
    <row r="146" spans="1:4" ht="15" thickBot="1">
      <c r="A146" s="25">
        <v>332.51</v>
      </c>
      <c r="B146" s="12">
        <v>219</v>
      </c>
      <c r="C146" s="10">
        <f t="shared" si="2"/>
        <v>72819.69</v>
      </c>
      <c r="D146" s="10">
        <f>Table20[[#This Row],[Sales]]+Table20[[#This Row],[Units Sold]]</f>
        <v>73038.69</v>
      </c>
    </row>
    <row r="147" spans="1:4" ht="15" thickBot="1">
      <c r="A147" s="24">
        <v>489.42</v>
      </c>
      <c r="B147" s="21">
        <v>315</v>
      </c>
      <c r="C147" s="10">
        <f t="shared" si="2"/>
        <v>154167.30000000002</v>
      </c>
      <c r="D147" s="10">
        <f>Table20[[#This Row],[Sales]]+Table20[[#This Row],[Units Sold]]</f>
        <v>154482.30000000002</v>
      </c>
    </row>
    <row r="148" spans="1:4" ht="15" thickBot="1">
      <c r="A148" s="25">
        <v>190.28</v>
      </c>
      <c r="B148" s="12">
        <v>279</v>
      </c>
      <c r="C148" s="10">
        <f t="shared" si="2"/>
        <v>53088.12</v>
      </c>
      <c r="D148" s="10">
        <f>Table20[[#This Row],[Sales]]+Table20[[#This Row],[Units Sold]]</f>
        <v>53367.12</v>
      </c>
    </row>
    <row r="149" spans="1:4" ht="15" thickBot="1">
      <c r="A149" s="24">
        <v>13.67</v>
      </c>
      <c r="B149" s="21">
        <v>201</v>
      </c>
      <c r="C149" s="10">
        <f t="shared" si="2"/>
        <v>2747.67</v>
      </c>
      <c r="D149" s="10">
        <f>Table20[[#This Row],[Sales]]+Table20[[#This Row],[Units Sold]]</f>
        <v>2948.67</v>
      </c>
    </row>
    <row r="150" spans="1:4" ht="15" thickBot="1">
      <c r="A150" s="25">
        <v>125.85</v>
      </c>
      <c r="B150" s="12">
        <v>184</v>
      </c>
      <c r="C150" s="10">
        <f t="shared" si="2"/>
        <v>23156.399999999998</v>
      </c>
      <c r="D150" s="10">
        <f>Table20[[#This Row],[Sales]]+Table20[[#This Row],[Units Sold]]</f>
        <v>23340.399999999998</v>
      </c>
    </row>
    <row r="151" spans="1:4" ht="15" thickBot="1">
      <c r="A151" s="24">
        <v>416.28</v>
      </c>
      <c r="B151" s="21">
        <v>294</v>
      </c>
      <c r="C151" s="10">
        <f t="shared" si="2"/>
        <v>122386.31999999999</v>
      </c>
      <c r="D151" s="10">
        <f>Table20[[#This Row],[Sales]]+Table20[[#This Row],[Units Sold]]</f>
        <v>122680.31999999999</v>
      </c>
    </row>
    <row r="152" spans="1:4" ht="15" thickBot="1">
      <c r="A152" s="25">
        <v>432.98</v>
      </c>
      <c r="B152" s="12">
        <v>213</v>
      </c>
      <c r="C152" s="10">
        <f t="shared" si="2"/>
        <v>92224.74</v>
      </c>
      <c r="D152" s="10">
        <f>Table20[[#This Row],[Sales]]+Table20[[#This Row],[Units Sold]]</f>
        <v>92437.74</v>
      </c>
    </row>
    <row r="153" spans="1:4" ht="15" thickBot="1">
      <c r="A153" s="24">
        <v>385.42</v>
      </c>
      <c r="B153" s="21">
        <v>173</v>
      </c>
      <c r="C153" s="10">
        <f t="shared" si="2"/>
        <v>66677.66</v>
      </c>
      <c r="D153" s="10">
        <f>Table20[[#This Row],[Sales]]+Table20[[#This Row],[Units Sold]]</f>
        <v>66850.66</v>
      </c>
    </row>
    <row r="154" spans="1:4" ht="15" thickBot="1">
      <c r="A154" s="25">
        <v>60.99</v>
      </c>
      <c r="B154" s="12">
        <v>260</v>
      </c>
      <c r="C154" s="10">
        <f t="shared" si="2"/>
        <v>15857.4</v>
      </c>
      <c r="D154" s="10">
        <f>Table20[[#This Row],[Sales]]+Table20[[#This Row],[Units Sold]]</f>
        <v>16117.4</v>
      </c>
    </row>
    <row r="155" spans="1:4" ht="15" thickBot="1">
      <c r="A155" s="24">
        <v>398.78</v>
      </c>
      <c r="B155" s="21">
        <v>236</v>
      </c>
      <c r="C155" s="10">
        <f t="shared" si="2"/>
        <v>94112.079999999987</v>
      </c>
      <c r="D155" s="10">
        <f>Table20[[#This Row],[Sales]]+Table20[[#This Row],[Units Sold]]</f>
        <v>94348.079999999987</v>
      </c>
    </row>
    <row r="156" spans="1:4" ht="15" thickBot="1">
      <c r="A156" s="25">
        <v>459.75</v>
      </c>
      <c r="B156" s="12">
        <v>445</v>
      </c>
      <c r="C156" s="10">
        <f t="shared" si="2"/>
        <v>204588.75</v>
      </c>
      <c r="D156" s="10">
        <f>Table20[[#This Row],[Sales]]+Table20[[#This Row],[Units Sold]]</f>
        <v>205033.75</v>
      </c>
    </row>
    <row r="157" spans="1:4" ht="15" thickBot="1">
      <c r="A157" s="24">
        <v>302.3</v>
      </c>
      <c r="B157" s="21">
        <v>390</v>
      </c>
      <c r="C157" s="10">
        <f t="shared" si="2"/>
        <v>117897</v>
      </c>
      <c r="D157" s="10">
        <f>Table20[[#This Row],[Sales]]+Table20[[#This Row],[Units Sold]]</f>
        <v>118287</v>
      </c>
    </row>
    <row r="158" spans="1:4" ht="15" thickBot="1">
      <c r="A158" s="25">
        <v>470.73</v>
      </c>
      <c r="B158" s="12">
        <v>469</v>
      </c>
      <c r="C158" s="10">
        <f t="shared" si="2"/>
        <v>220772.37</v>
      </c>
      <c r="D158" s="10">
        <f>Table20[[#This Row],[Sales]]+Table20[[#This Row],[Units Sold]]</f>
        <v>221241.37</v>
      </c>
    </row>
    <row r="159" spans="1:4" ht="15" thickBot="1">
      <c r="A159" s="24"/>
      <c r="B159" s="21">
        <v>16</v>
      </c>
      <c r="C159" s="10">
        <f t="shared" si="2"/>
        <v>0</v>
      </c>
      <c r="D159" s="10">
        <f>Table20[[#This Row],[Sales]]+Table20[[#This Row],[Units Sold]]</f>
        <v>16</v>
      </c>
    </row>
    <row r="160" spans="1:4" ht="15" thickBot="1">
      <c r="A160" s="25">
        <v>335.15</v>
      </c>
      <c r="B160" s="12">
        <v>38</v>
      </c>
      <c r="C160" s="10">
        <f t="shared" si="2"/>
        <v>12735.699999999999</v>
      </c>
      <c r="D160" s="10">
        <f>Table20[[#This Row],[Sales]]+Table20[[#This Row],[Units Sold]]</f>
        <v>12773.699999999999</v>
      </c>
    </row>
    <row r="161" spans="1:4" ht="15" thickBot="1">
      <c r="A161" s="24">
        <v>290.70999999999998</v>
      </c>
      <c r="B161" s="21">
        <v>404</v>
      </c>
      <c r="C161" s="10">
        <f t="shared" si="2"/>
        <v>117446.84</v>
      </c>
      <c r="D161" s="10">
        <f>Table20[[#This Row],[Sales]]+Table20[[#This Row],[Units Sold]]</f>
        <v>117850.84</v>
      </c>
    </row>
    <row r="162" spans="1:4" ht="15" thickBot="1">
      <c r="A162" s="25">
        <v>177.54</v>
      </c>
      <c r="B162" s="12">
        <v>42</v>
      </c>
      <c r="C162" s="10">
        <f t="shared" si="2"/>
        <v>7456.6799999999994</v>
      </c>
      <c r="D162" s="10">
        <f>Table20[[#This Row],[Sales]]+Table20[[#This Row],[Units Sold]]</f>
        <v>7498.6799999999994</v>
      </c>
    </row>
    <row r="163" spans="1:4" ht="15" thickBot="1">
      <c r="A163" s="24">
        <v>83.85</v>
      </c>
      <c r="B163" s="21">
        <v>143</v>
      </c>
      <c r="C163" s="10">
        <f t="shared" si="2"/>
        <v>11990.55</v>
      </c>
      <c r="D163" s="10">
        <f>Table20[[#This Row],[Sales]]+Table20[[#This Row],[Units Sold]]</f>
        <v>12133.55</v>
      </c>
    </row>
    <row r="164" spans="1:4" ht="15" thickBot="1">
      <c r="A164" s="25">
        <v>304.45</v>
      </c>
      <c r="B164" s="12">
        <v>376</v>
      </c>
      <c r="C164" s="10">
        <f t="shared" si="2"/>
        <v>114473.2</v>
      </c>
      <c r="D164" s="10">
        <f>Table20[[#This Row],[Sales]]+Table20[[#This Row],[Units Sold]]</f>
        <v>114849.2</v>
      </c>
    </row>
    <row r="165" spans="1:4" ht="15" thickBot="1">
      <c r="A165" s="24">
        <v>162.47</v>
      </c>
      <c r="B165" s="21">
        <v>88</v>
      </c>
      <c r="C165" s="10">
        <f t="shared" si="2"/>
        <v>14297.36</v>
      </c>
      <c r="D165" s="10">
        <f>Table20[[#This Row],[Sales]]+Table20[[#This Row],[Units Sold]]</f>
        <v>14385.36</v>
      </c>
    </row>
    <row r="166" spans="1:4" ht="15" thickBot="1">
      <c r="A166" s="25">
        <v>433.89</v>
      </c>
      <c r="B166" s="12">
        <v>425</v>
      </c>
      <c r="C166" s="10">
        <f t="shared" si="2"/>
        <v>184403.25</v>
      </c>
      <c r="D166" s="10">
        <f>Table20[[#This Row],[Sales]]+Table20[[#This Row],[Units Sold]]</f>
        <v>184828.25</v>
      </c>
    </row>
    <row r="167" spans="1:4" ht="15" thickBot="1">
      <c r="A167" s="24">
        <v>496.7</v>
      </c>
      <c r="B167" s="21">
        <v>444</v>
      </c>
      <c r="C167" s="10">
        <f t="shared" si="2"/>
        <v>220534.8</v>
      </c>
      <c r="D167" s="10">
        <f>Table20[[#This Row],[Sales]]+Table20[[#This Row],[Units Sold]]</f>
        <v>220978.8</v>
      </c>
    </row>
    <row r="168" spans="1:4" ht="15" thickBot="1">
      <c r="A168" s="25">
        <v>377.45</v>
      </c>
      <c r="B168" s="12">
        <v>468</v>
      </c>
      <c r="C168" s="10">
        <f t="shared" si="2"/>
        <v>176646.6</v>
      </c>
      <c r="D168" s="10">
        <f>Table20[[#This Row],[Sales]]+Table20[[#This Row],[Units Sold]]</f>
        <v>177114.6</v>
      </c>
    </row>
    <row r="169" spans="1:4" ht="15" thickBot="1">
      <c r="A169" s="24">
        <v>49.79</v>
      </c>
      <c r="B169" s="21">
        <v>67</v>
      </c>
      <c r="C169" s="10">
        <f t="shared" si="2"/>
        <v>3335.93</v>
      </c>
      <c r="D169" s="10">
        <f>Table20[[#This Row],[Sales]]+Table20[[#This Row],[Units Sold]]</f>
        <v>3402.93</v>
      </c>
    </row>
    <row r="170" spans="1:4" ht="15" thickBot="1">
      <c r="A170" s="25">
        <v>147.9</v>
      </c>
      <c r="B170" s="12">
        <v>480</v>
      </c>
      <c r="C170" s="10">
        <f t="shared" si="2"/>
        <v>70992</v>
      </c>
      <c r="D170" s="10">
        <f>Table20[[#This Row],[Sales]]+Table20[[#This Row],[Units Sold]]</f>
        <v>71472</v>
      </c>
    </row>
    <row r="171" spans="1:4" ht="15" thickBot="1">
      <c r="A171" s="24">
        <v>59.01</v>
      </c>
      <c r="B171" s="21">
        <v>35</v>
      </c>
      <c r="C171" s="10">
        <f t="shared" si="2"/>
        <v>2065.35</v>
      </c>
      <c r="D171" s="10">
        <f>Table20[[#This Row],[Sales]]+Table20[[#This Row],[Units Sold]]</f>
        <v>2100.35</v>
      </c>
    </row>
    <row r="172" spans="1:4" ht="15" thickBot="1">
      <c r="A172" s="25">
        <v>327</v>
      </c>
      <c r="B172" s="12">
        <v>491</v>
      </c>
      <c r="C172" s="10">
        <f t="shared" si="2"/>
        <v>160557</v>
      </c>
      <c r="D172" s="10">
        <f>Table20[[#This Row],[Sales]]+Table20[[#This Row],[Units Sold]]</f>
        <v>161048</v>
      </c>
    </row>
    <row r="173" spans="1:4" ht="15" thickBot="1">
      <c r="A173" s="24">
        <v>383.77</v>
      </c>
      <c r="B173" s="21">
        <v>439</v>
      </c>
      <c r="C173" s="10">
        <f t="shared" si="2"/>
        <v>168475.03</v>
      </c>
      <c r="D173" s="10">
        <f>Table20[[#This Row],[Sales]]+Table20[[#This Row],[Units Sold]]</f>
        <v>168914.03</v>
      </c>
    </row>
    <row r="174" spans="1:4" ht="15" thickBot="1">
      <c r="A174" s="25">
        <v>463.21</v>
      </c>
      <c r="B174" s="12">
        <v>235</v>
      </c>
      <c r="C174" s="10">
        <f t="shared" si="2"/>
        <v>108854.34999999999</v>
      </c>
      <c r="D174" s="10">
        <f>Table20[[#This Row],[Sales]]+Table20[[#This Row],[Units Sold]]</f>
        <v>109089.34999999999</v>
      </c>
    </row>
    <row r="175" spans="1:4" ht="15" thickBot="1">
      <c r="A175" s="24">
        <v>221.9</v>
      </c>
      <c r="B175" s="21">
        <v>294</v>
      </c>
      <c r="C175" s="10">
        <f t="shared" si="2"/>
        <v>65238.6</v>
      </c>
      <c r="D175" s="10">
        <f>Table20[[#This Row],[Sales]]+Table20[[#This Row],[Units Sold]]</f>
        <v>65532.6</v>
      </c>
    </row>
    <row r="176" spans="1:4" ht="15" thickBot="1">
      <c r="A176" s="25">
        <v>451.18</v>
      </c>
      <c r="B176" s="12">
        <v>13</v>
      </c>
      <c r="C176" s="10">
        <f t="shared" si="2"/>
        <v>5865.34</v>
      </c>
      <c r="D176" s="10">
        <f>Table20[[#This Row],[Sales]]+Table20[[#This Row],[Units Sold]]</f>
        <v>5878.34</v>
      </c>
    </row>
    <row r="177" spans="1:4" ht="15" thickBot="1">
      <c r="A177" s="24">
        <v>439.56</v>
      </c>
      <c r="B177" s="21">
        <v>474</v>
      </c>
      <c r="C177" s="10">
        <f t="shared" si="2"/>
        <v>208351.44</v>
      </c>
      <c r="D177" s="10">
        <f>Table20[[#This Row],[Sales]]+Table20[[#This Row],[Units Sold]]</f>
        <v>208825.44</v>
      </c>
    </row>
    <row r="178" spans="1:4" ht="15" thickBot="1">
      <c r="A178" s="25">
        <v>162.01</v>
      </c>
      <c r="B178" s="12">
        <v>108</v>
      </c>
      <c r="C178" s="10">
        <f t="shared" si="2"/>
        <v>17497.079999999998</v>
      </c>
      <c r="D178" s="10">
        <f>Table20[[#This Row],[Sales]]+Table20[[#This Row],[Units Sold]]</f>
        <v>17605.079999999998</v>
      </c>
    </row>
    <row r="179" spans="1:4" ht="15" thickBot="1">
      <c r="A179" s="24">
        <v>435.11</v>
      </c>
      <c r="B179" s="21">
        <v>406</v>
      </c>
      <c r="C179" s="10">
        <f t="shared" si="2"/>
        <v>176654.66</v>
      </c>
      <c r="D179" s="10">
        <f>Table20[[#This Row],[Sales]]+Table20[[#This Row],[Units Sold]]</f>
        <v>177060.66</v>
      </c>
    </row>
    <row r="180" spans="1:4" ht="15" thickBot="1">
      <c r="A180" s="25">
        <v>190.96</v>
      </c>
      <c r="B180" s="12">
        <v>498</v>
      </c>
      <c r="C180" s="10">
        <f t="shared" si="2"/>
        <v>95098.08</v>
      </c>
      <c r="D180" s="10">
        <f>Table20[[#This Row],[Sales]]+Table20[[#This Row],[Units Sold]]</f>
        <v>95596.08</v>
      </c>
    </row>
    <row r="181" spans="1:4" ht="15" thickBot="1">
      <c r="A181" s="24">
        <v>151.94999999999999</v>
      </c>
      <c r="B181" s="21">
        <v>48</v>
      </c>
      <c r="C181" s="10">
        <f t="shared" si="2"/>
        <v>7293.5999999999995</v>
      </c>
      <c r="D181" s="10">
        <f>Table20[[#This Row],[Sales]]+Table20[[#This Row],[Units Sold]]</f>
        <v>7341.5999999999995</v>
      </c>
    </row>
    <row r="182" spans="1:4" ht="15" thickBot="1">
      <c r="A182" s="25">
        <v>326.29000000000002</v>
      </c>
      <c r="B182" s="12">
        <v>280</v>
      </c>
      <c r="C182" s="10">
        <f t="shared" si="2"/>
        <v>91361.200000000012</v>
      </c>
      <c r="D182" s="10">
        <f>Table20[[#This Row],[Sales]]+Table20[[#This Row],[Units Sold]]</f>
        <v>91641.200000000012</v>
      </c>
    </row>
    <row r="183" spans="1:4" ht="15" thickBot="1">
      <c r="A183" s="24">
        <v>167.55</v>
      </c>
      <c r="B183" s="21">
        <v>384</v>
      </c>
      <c r="C183" s="10">
        <f t="shared" si="2"/>
        <v>64339.200000000004</v>
      </c>
      <c r="D183" s="10">
        <f>Table20[[#This Row],[Sales]]+Table20[[#This Row],[Units Sold]]</f>
        <v>64723.200000000004</v>
      </c>
    </row>
    <row r="184" spans="1:4" ht="15" thickBot="1">
      <c r="A184" s="25">
        <v>316.95</v>
      </c>
      <c r="B184" s="12">
        <v>294</v>
      </c>
      <c r="C184" s="10">
        <f t="shared" si="2"/>
        <v>93183.3</v>
      </c>
      <c r="D184" s="10">
        <f>Table20[[#This Row],[Sales]]+Table20[[#This Row],[Units Sold]]</f>
        <v>93477.3</v>
      </c>
    </row>
    <row r="185" spans="1:4" ht="15" thickBot="1">
      <c r="A185" s="24">
        <v>306.87</v>
      </c>
      <c r="B185" s="21">
        <v>166</v>
      </c>
      <c r="C185" s="10">
        <f t="shared" si="2"/>
        <v>50940.42</v>
      </c>
      <c r="D185" s="10">
        <f>Table20[[#This Row],[Sales]]+Table20[[#This Row],[Units Sold]]</f>
        <v>51106.42</v>
      </c>
    </row>
    <row r="186" spans="1:4" ht="15" thickBot="1">
      <c r="A186" s="25">
        <v>283.89999999999998</v>
      </c>
      <c r="B186" s="12">
        <v>84</v>
      </c>
      <c r="C186" s="10">
        <f t="shared" si="2"/>
        <v>23847.599999999999</v>
      </c>
      <c r="D186" s="10">
        <f>Table20[[#This Row],[Sales]]+Table20[[#This Row],[Units Sold]]</f>
        <v>23931.599999999999</v>
      </c>
    </row>
    <row r="187" spans="1:4" ht="15" thickBot="1">
      <c r="A187" s="24">
        <v>193.31</v>
      </c>
      <c r="B187" s="21">
        <v>381</v>
      </c>
      <c r="C187" s="10">
        <f t="shared" si="2"/>
        <v>73651.11</v>
      </c>
      <c r="D187" s="10">
        <f>Table20[[#This Row],[Sales]]+Table20[[#This Row],[Units Sold]]</f>
        <v>74032.11</v>
      </c>
    </row>
    <row r="188" spans="1:4" ht="15" thickBot="1">
      <c r="A188" s="25">
        <v>276.51</v>
      </c>
      <c r="B188" s="12">
        <v>297</v>
      </c>
      <c r="C188" s="10">
        <f t="shared" si="2"/>
        <v>82123.47</v>
      </c>
      <c r="D188" s="10">
        <f>Table20[[#This Row],[Sales]]+Table20[[#This Row],[Units Sold]]</f>
        <v>82420.47</v>
      </c>
    </row>
    <row r="189" spans="1:4" ht="15" thickBot="1">
      <c r="A189" s="24">
        <v>300.26</v>
      </c>
      <c r="B189" s="21">
        <v>139</v>
      </c>
      <c r="C189" s="10">
        <f t="shared" si="2"/>
        <v>41736.14</v>
      </c>
      <c r="D189" s="10">
        <f>Table20[[#This Row],[Sales]]+Table20[[#This Row],[Units Sold]]</f>
        <v>41875.14</v>
      </c>
    </row>
    <row r="190" spans="1:4" ht="15" thickBot="1">
      <c r="A190" s="25">
        <v>275.12</v>
      </c>
      <c r="B190" s="12">
        <v>184</v>
      </c>
      <c r="C190" s="10">
        <f t="shared" si="2"/>
        <v>50622.080000000002</v>
      </c>
      <c r="D190" s="10">
        <f>Table20[[#This Row],[Sales]]+Table20[[#This Row],[Units Sold]]</f>
        <v>50806.080000000002</v>
      </c>
    </row>
    <row r="191" spans="1:4" ht="15" thickBot="1">
      <c r="A191" s="24">
        <v>224.99</v>
      </c>
      <c r="B191" s="21">
        <v>471</v>
      </c>
      <c r="C191" s="10">
        <f t="shared" si="2"/>
        <v>105970.29000000001</v>
      </c>
      <c r="D191" s="10">
        <f>Table20[[#This Row],[Sales]]+Table20[[#This Row],[Units Sold]]</f>
        <v>106441.29000000001</v>
      </c>
    </row>
    <row r="192" spans="1:4" ht="15" thickBot="1">
      <c r="A192" s="25">
        <v>12.26</v>
      </c>
      <c r="B192" s="12">
        <v>93</v>
      </c>
      <c r="C192" s="10">
        <f t="shared" si="2"/>
        <v>1140.18</v>
      </c>
      <c r="D192" s="10">
        <f>Table20[[#This Row],[Sales]]+Table20[[#This Row],[Units Sold]]</f>
        <v>1233.18</v>
      </c>
    </row>
    <row r="193" spans="1:4" ht="15" thickBot="1">
      <c r="A193" s="24">
        <v>295.60000000000002</v>
      </c>
      <c r="B193" s="21">
        <v>31</v>
      </c>
      <c r="C193" s="10">
        <f t="shared" si="2"/>
        <v>9163.6</v>
      </c>
      <c r="D193" s="10">
        <f>Table20[[#This Row],[Sales]]+Table20[[#This Row],[Units Sold]]</f>
        <v>9194.6</v>
      </c>
    </row>
    <row r="194" spans="1:4" ht="15" thickBot="1">
      <c r="A194" s="25">
        <v>88.38</v>
      </c>
      <c r="B194" s="12">
        <v>468</v>
      </c>
      <c r="C194" s="10">
        <f t="shared" si="2"/>
        <v>41361.839999999997</v>
      </c>
      <c r="D194" s="10">
        <f>Table20[[#This Row],[Sales]]+Table20[[#This Row],[Units Sold]]</f>
        <v>41829.839999999997</v>
      </c>
    </row>
    <row r="195" spans="1:4" ht="15" thickBot="1">
      <c r="A195" s="24">
        <v>323.08</v>
      </c>
      <c r="B195" s="21">
        <v>36</v>
      </c>
      <c r="C195" s="10">
        <f t="shared" si="2"/>
        <v>11630.88</v>
      </c>
      <c r="D195" s="10">
        <f>Table20[[#This Row],[Sales]]+Table20[[#This Row],[Units Sold]]</f>
        <v>11666.88</v>
      </c>
    </row>
    <row r="196" spans="1:4" ht="15" thickBot="1">
      <c r="A196" s="25">
        <v>380.88</v>
      </c>
      <c r="B196" s="12">
        <v>204</v>
      </c>
      <c r="C196" s="10">
        <f t="shared" ref="C196:C259" si="3">A196*B196</f>
        <v>77699.520000000004</v>
      </c>
      <c r="D196" s="10">
        <f>Table20[[#This Row],[Sales]]+Table20[[#This Row],[Units Sold]]</f>
        <v>77903.520000000004</v>
      </c>
    </row>
    <row r="197" spans="1:4" ht="15" thickBot="1">
      <c r="A197" s="24">
        <v>252.72</v>
      </c>
      <c r="B197" s="21">
        <v>346</v>
      </c>
      <c r="C197" s="10">
        <f t="shared" si="3"/>
        <v>87441.12</v>
      </c>
      <c r="D197" s="10">
        <f>Table20[[#This Row],[Sales]]+Table20[[#This Row],[Units Sold]]</f>
        <v>87787.12</v>
      </c>
    </row>
    <row r="198" spans="1:4" ht="15" thickBot="1">
      <c r="A198" s="25">
        <v>273.47000000000003</v>
      </c>
      <c r="B198" s="12">
        <v>391</v>
      </c>
      <c r="C198" s="10">
        <f t="shared" si="3"/>
        <v>106926.77</v>
      </c>
      <c r="D198" s="10">
        <f>Table20[[#This Row],[Sales]]+Table20[[#This Row],[Units Sold]]</f>
        <v>107317.77</v>
      </c>
    </row>
    <row r="199" spans="1:4" ht="15" thickBot="1">
      <c r="A199" s="24">
        <v>475.98</v>
      </c>
      <c r="B199" s="21">
        <v>245</v>
      </c>
      <c r="C199" s="10">
        <f t="shared" si="3"/>
        <v>116615.1</v>
      </c>
      <c r="D199" s="10">
        <f>Table20[[#This Row],[Sales]]+Table20[[#This Row],[Units Sold]]</f>
        <v>116860.1</v>
      </c>
    </row>
    <row r="200" spans="1:4" ht="15" thickBot="1">
      <c r="A200" s="25">
        <v>424.35</v>
      </c>
      <c r="B200" s="12">
        <v>449</v>
      </c>
      <c r="C200" s="10">
        <f t="shared" si="3"/>
        <v>190533.15000000002</v>
      </c>
      <c r="D200" s="10">
        <f>Table20[[#This Row],[Sales]]+Table20[[#This Row],[Units Sold]]</f>
        <v>190982.15000000002</v>
      </c>
    </row>
    <row r="201" spans="1:4" ht="15" thickBot="1">
      <c r="A201" s="24">
        <v>457.55</v>
      </c>
      <c r="B201" s="21">
        <v>101</v>
      </c>
      <c r="C201" s="10">
        <f t="shared" si="3"/>
        <v>46212.55</v>
      </c>
      <c r="D201" s="10">
        <f>Table20[[#This Row],[Sales]]+Table20[[#This Row],[Units Sold]]</f>
        <v>46313.55</v>
      </c>
    </row>
    <row r="202" spans="1:4" ht="15" thickBot="1">
      <c r="A202" s="25">
        <v>407.81</v>
      </c>
      <c r="B202" s="12"/>
      <c r="C202" s="10">
        <f t="shared" si="3"/>
        <v>0</v>
      </c>
      <c r="D202" s="10">
        <f>Table20[[#This Row],[Sales]]+Table20[[#This Row],[Units Sold]]</f>
        <v>0</v>
      </c>
    </row>
    <row r="203" spans="1:4" ht="15" thickBot="1">
      <c r="A203" s="24">
        <v>58.91</v>
      </c>
      <c r="B203" s="21">
        <v>30</v>
      </c>
      <c r="C203" s="10">
        <f t="shared" si="3"/>
        <v>1767.3</v>
      </c>
      <c r="D203" s="10">
        <f>Table20[[#This Row],[Sales]]+Table20[[#This Row],[Units Sold]]</f>
        <v>1797.3</v>
      </c>
    </row>
    <row r="204" spans="1:4" ht="15" thickBot="1">
      <c r="A204" s="25">
        <v>78.75</v>
      </c>
      <c r="B204" s="12">
        <v>312</v>
      </c>
      <c r="C204" s="10">
        <f t="shared" si="3"/>
        <v>24570</v>
      </c>
      <c r="D204" s="10">
        <f>Table20[[#This Row],[Sales]]+Table20[[#This Row],[Units Sold]]</f>
        <v>24882</v>
      </c>
    </row>
    <row r="205" spans="1:4" ht="15" thickBot="1">
      <c r="A205" s="24">
        <v>265.68</v>
      </c>
      <c r="B205" s="21">
        <v>473</v>
      </c>
      <c r="C205" s="10">
        <f t="shared" si="3"/>
        <v>125666.64</v>
      </c>
      <c r="D205" s="10">
        <f>Table20[[#This Row],[Sales]]+Table20[[#This Row],[Units Sold]]</f>
        <v>126139.64</v>
      </c>
    </row>
    <row r="206" spans="1:4" ht="15" thickBot="1">
      <c r="A206" s="25">
        <v>126.8</v>
      </c>
      <c r="B206" s="12">
        <v>366</v>
      </c>
      <c r="C206" s="10">
        <f t="shared" si="3"/>
        <v>46408.799999999996</v>
      </c>
      <c r="D206" s="10">
        <f>Table20[[#This Row],[Sales]]+Table20[[#This Row],[Units Sold]]</f>
        <v>46774.799999999996</v>
      </c>
    </row>
    <row r="207" spans="1:4" ht="15" thickBot="1">
      <c r="A207" s="24">
        <v>240.96</v>
      </c>
      <c r="B207" s="21">
        <v>452</v>
      </c>
      <c r="C207" s="10">
        <f t="shared" si="3"/>
        <v>108913.92</v>
      </c>
      <c r="D207" s="10">
        <f>Table20[[#This Row],[Sales]]+Table20[[#This Row],[Units Sold]]</f>
        <v>109365.92</v>
      </c>
    </row>
    <row r="208" spans="1:4" ht="15" thickBot="1">
      <c r="A208" s="25">
        <v>200.21</v>
      </c>
      <c r="B208" s="12">
        <v>93</v>
      </c>
      <c r="C208" s="10">
        <f t="shared" si="3"/>
        <v>18619.530000000002</v>
      </c>
      <c r="D208" s="10">
        <f>Table20[[#This Row],[Sales]]+Table20[[#This Row],[Units Sold]]</f>
        <v>18712.530000000002</v>
      </c>
    </row>
    <row r="209" spans="1:4" ht="15" thickBot="1">
      <c r="A209" s="24">
        <v>276.95999999999998</v>
      </c>
      <c r="B209" s="21">
        <v>271</v>
      </c>
      <c r="C209" s="10">
        <f t="shared" si="3"/>
        <v>75056.159999999989</v>
      </c>
      <c r="D209" s="10">
        <f>Table20[[#This Row],[Sales]]+Table20[[#This Row],[Units Sold]]</f>
        <v>75327.159999999989</v>
      </c>
    </row>
    <row r="210" spans="1:4" ht="15" thickBot="1">
      <c r="A210" s="25">
        <v>374.7</v>
      </c>
      <c r="B210" s="12">
        <v>156</v>
      </c>
      <c r="C210" s="10">
        <f t="shared" si="3"/>
        <v>58453.2</v>
      </c>
      <c r="D210" s="10">
        <f>Table20[[#This Row],[Sales]]+Table20[[#This Row],[Units Sold]]</f>
        <v>58609.2</v>
      </c>
    </row>
    <row r="211" spans="1:4" ht="15" thickBot="1">
      <c r="A211" s="24">
        <v>359.17</v>
      </c>
      <c r="B211" s="21">
        <v>450</v>
      </c>
      <c r="C211" s="10">
        <f t="shared" si="3"/>
        <v>161626.5</v>
      </c>
      <c r="D211" s="10">
        <f>Table20[[#This Row],[Sales]]+Table20[[#This Row],[Units Sold]]</f>
        <v>162076.5</v>
      </c>
    </row>
    <row r="212" spans="1:4" ht="15" thickBot="1">
      <c r="A212" s="25">
        <v>263.01</v>
      </c>
      <c r="B212" s="12">
        <v>462</v>
      </c>
      <c r="C212" s="10">
        <f t="shared" si="3"/>
        <v>121510.62</v>
      </c>
      <c r="D212" s="10">
        <f>Table20[[#This Row],[Sales]]+Table20[[#This Row],[Units Sold]]</f>
        <v>121972.62</v>
      </c>
    </row>
    <row r="213" spans="1:4" ht="15" thickBot="1">
      <c r="A213" s="24">
        <v>412.08</v>
      </c>
      <c r="B213" s="21">
        <v>396</v>
      </c>
      <c r="C213" s="10">
        <f t="shared" si="3"/>
        <v>163183.67999999999</v>
      </c>
      <c r="D213" s="10">
        <f>Table20[[#This Row],[Sales]]+Table20[[#This Row],[Units Sold]]</f>
        <v>163579.68</v>
      </c>
    </row>
    <row r="214" spans="1:4" ht="15" thickBot="1">
      <c r="A214" s="25">
        <v>218.28</v>
      </c>
      <c r="B214" s="12">
        <v>266</v>
      </c>
      <c r="C214" s="10">
        <f t="shared" si="3"/>
        <v>58062.48</v>
      </c>
      <c r="D214" s="10">
        <f>Table20[[#This Row],[Sales]]+Table20[[#This Row],[Units Sold]]</f>
        <v>58328.480000000003</v>
      </c>
    </row>
    <row r="215" spans="1:4" ht="15" thickBot="1">
      <c r="A215" s="24">
        <v>448.87</v>
      </c>
      <c r="B215" s="21">
        <v>67</v>
      </c>
      <c r="C215" s="10">
        <f t="shared" si="3"/>
        <v>30074.29</v>
      </c>
      <c r="D215" s="10">
        <f>Table20[[#This Row],[Sales]]+Table20[[#This Row],[Units Sold]]</f>
        <v>30141.29</v>
      </c>
    </row>
    <row r="216" spans="1:4" ht="15" thickBot="1">
      <c r="A216" s="25">
        <v>40.28</v>
      </c>
      <c r="B216" s="12">
        <v>389</v>
      </c>
      <c r="C216" s="10">
        <f t="shared" si="3"/>
        <v>15668.92</v>
      </c>
      <c r="D216" s="10">
        <f>Table20[[#This Row],[Sales]]+Table20[[#This Row],[Units Sold]]</f>
        <v>16057.92</v>
      </c>
    </row>
    <row r="217" spans="1:4" ht="15" thickBot="1">
      <c r="A217" s="24">
        <v>477.56</v>
      </c>
      <c r="B217" s="21">
        <v>431</v>
      </c>
      <c r="C217" s="10">
        <f t="shared" si="3"/>
        <v>205828.36000000002</v>
      </c>
      <c r="D217" s="10">
        <f>Table20[[#This Row],[Sales]]+Table20[[#This Row],[Units Sold]]</f>
        <v>206259.36000000002</v>
      </c>
    </row>
    <row r="218" spans="1:4" ht="15" thickBot="1">
      <c r="A218" s="25">
        <v>329.07</v>
      </c>
      <c r="B218" s="12">
        <v>24</v>
      </c>
      <c r="C218" s="10">
        <f t="shared" si="3"/>
        <v>7897.68</v>
      </c>
      <c r="D218" s="10">
        <f>Table20[[#This Row],[Sales]]+Table20[[#This Row],[Units Sold]]</f>
        <v>7921.68</v>
      </c>
    </row>
    <row r="219" spans="1:4" ht="15" thickBot="1">
      <c r="A219" s="24">
        <v>193.14</v>
      </c>
      <c r="B219" s="21">
        <v>171</v>
      </c>
      <c r="C219" s="10">
        <f t="shared" si="3"/>
        <v>33026.939999999995</v>
      </c>
      <c r="D219" s="10">
        <f>Table20[[#This Row],[Sales]]+Table20[[#This Row],[Units Sold]]</f>
        <v>33197.939999999995</v>
      </c>
    </row>
    <row r="220" spans="1:4" ht="15" thickBot="1">
      <c r="A220" s="25">
        <v>102.59</v>
      </c>
      <c r="B220" s="12">
        <v>454</v>
      </c>
      <c r="C220" s="10">
        <f t="shared" si="3"/>
        <v>46575.86</v>
      </c>
      <c r="D220" s="10">
        <f>Table20[[#This Row],[Sales]]+Table20[[#This Row],[Units Sold]]</f>
        <v>47029.86</v>
      </c>
    </row>
    <row r="221" spans="1:4" ht="15" thickBot="1">
      <c r="A221" s="24">
        <v>242.2</v>
      </c>
      <c r="B221" s="21">
        <v>172</v>
      </c>
      <c r="C221" s="10">
        <f t="shared" si="3"/>
        <v>41658.400000000001</v>
      </c>
      <c r="D221" s="10">
        <f>Table20[[#This Row],[Sales]]+Table20[[#This Row],[Units Sold]]</f>
        <v>41830.400000000001</v>
      </c>
    </row>
    <row r="222" spans="1:4" ht="15" thickBot="1">
      <c r="A222" s="25">
        <v>101.31</v>
      </c>
      <c r="B222" s="12">
        <v>329</v>
      </c>
      <c r="C222" s="10">
        <f t="shared" si="3"/>
        <v>33330.99</v>
      </c>
      <c r="D222" s="10">
        <f>Table20[[#This Row],[Sales]]+Table20[[#This Row],[Units Sold]]</f>
        <v>33659.99</v>
      </c>
    </row>
    <row r="223" spans="1:4" ht="15" thickBot="1">
      <c r="A223" s="24">
        <v>87.33</v>
      </c>
      <c r="B223" s="21">
        <v>290</v>
      </c>
      <c r="C223" s="10">
        <f t="shared" si="3"/>
        <v>25325.7</v>
      </c>
      <c r="D223" s="10">
        <f>Table20[[#This Row],[Sales]]+Table20[[#This Row],[Units Sold]]</f>
        <v>25615.7</v>
      </c>
    </row>
    <row r="224" spans="1:4" ht="15" thickBot="1">
      <c r="A224" s="25">
        <v>310.58999999999997</v>
      </c>
      <c r="B224" s="12">
        <v>289</v>
      </c>
      <c r="C224" s="10">
        <f t="shared" si="3"/>
        <v>89760.51</v>
      </c>
      <c r="D224" s="10">
        <f>Table20[[#This Row],[Sales]]+Table20[[#This Row],[Units Sold]]</f>
        <v>90049.51</v>
      </c>
    </row>
    <row r="225" spans="1:4" ht="15" thickBot="1">
      <c r="A225" s="24">
        <v>263.93</v>
      </c>
      <c r="B225" s="21">
        <v>21</v>
      </c>
      <c r="C225" s="10">
        <f t="shared" si="3"/>
        <v>5542.53</v>
      </c>
      <c r="D225" s="10">
        <f>Table20[[#This Row],[Sales]]+Table20[[#This Row],[Units Sold]]</f>
        <v>5563.53</v>
      </c>
    </row>
    <row r="226" spans="1:4" ht="15" thickBot="1">
      <c r="A226" s="25">
        <v>336.7</v>
      </c>
      <c r="B226" s="12">
        <v>283</v>
      </c>
      <c r="C226" s="10">
        <f t="shared" si="3"/>
        <v>95286.099999999991</v>
      </c>
      <c r="D226" s="10">
        <f>Table20[[#This Row],[Sales]]+Table20[[#This Row],[Units Sold]]</f>
        <v>95569.099999999991</v>
      </c>
    </row>
    <row r="227" spans="1:4" ht="15" thickBot="1">
      <c r="A227" s="24">
        <v>465.15</v>
      </c>
      <c r="B227" s="21">
        <v>280</v>
      </c>
      <c r="C227" s="10">
        <f t="shared" si="3"/>
        <v>130242</v>
      </c>
      <c r="D227" s="10">
        <f>Table20[[#This Row],[Sales]]+Table20[[#This Row],[Units Sold]]</f>
        <v>130522</v>
      </c>
    </row>
    <row r="228" spans="1:4" ht="15" thickBot="1">
      <c r="A228" s="25">
        <v>268.47000000000003</v>
      </c>
      <c r="B228" s="12">
        <v>217</v>
      </c>
      <c r="C228" s="10">
        <f t="shared" si="3"/>
        <v>58257.990000000005</v>
      </c>
      <c r="D228" s="10">
        <f>Table20[[#This Row],[Sales]]+Table20[[#This Row],[Units Sold]]</f>
        <v>58474.990000000005</v>
      </c>
    </row>
    <row r="229" spans="1:4" ht="15" thickBot="1">
      <c r="A229" s="24">
        <v>292.56</v>
      </c>
      <c r="B229" s="21">
        <v>36</v>
      </c>
      <c r="C229" s="10">
        <f t="shared" si="3"/>
        <v>10532.16</v>
      </c>
      <c r="D229" s="10">
        <f>Table20[[#This Row],[Sales]]+Table20[[#This Row],[Units Sold]]</f>
        <v>10568.16</v>
      </c>
    </row>
    <row r="230" spans="1:4" ht="15" thickBot="1">
      <c r="A230" s="25">
        <v>49.37</v>
      </c>
      <c r="B230" s="12"/>
      <c r="C230" s="10">
        <f t="shared" si="3"/>
        <v>0</v>
      </c>
      <c r="D230" s="10">
        <f>Table20[[#This Row],[Sales]]+Table20[[#This Row],[Units Sold]]</f>
        <v>0</v>
      </c>
    </row>
    <row r="231" spans="1:4" ht="15" thickBot="1">
      <c r="A231" s="24">
        <v>360.23</v>
      </c>
      <c r="B231" s="21">
        <v>69</v>
      </c>
      <c r="C231" s="10">
        <f t="shared" si="3"/>
        <v>24855.870000000003</v>
      </c>
      <c r="D231" s="10">
        <f>Table20[[#This Row],[Sales]]+Table20[[#This Row],[Units Sold]]</f>
        <v>24924.870000000003</v>
      </c>
    </row>
    <row r="232" spans="1:4" ht="15" thickBot="1">
      <c r="A232" s="25">
        <v>202.95</v>
      </c>
      <c r="B232" s="12">
        <v>439</v>
      </c>
      <c r="C232" s="10">
        <f t="shared" si="3"/>
        <v>89095.049999999988</v>
      </c>
      <c r="D232" s="10">
        <f>Table20[[#This Row],[Sales]]+Table20[[#This Row],[Units Sold]]</f>
        <v>89534.049999999988</v>
      </c>
    </row>
    <row r="233" spans="1:4" ht="15" thickBot="1">
      <c r="A233" s="24">
        <v>488.48</v>
      </c>
      <c r="B233" s="21">
        <v>482</v>
      </c>
      <c r="C233" s="10">
        <f t="shared" si="3"/>
        <v>235447.36000000002</v>
      </c>
      <c r="D233" s="10">
        <f>Table20[[#This Row],[Sales]]+Table20[[#This Row],[Units Sold]]</f>
        <v>235929.36000000002</v>
      </c>
    </row>
    <row r="234" spans="1:4" ht="15" thickBot="1">
      <c r="A234" s="25">
        <v>412.47</v>
      </c>
      <c r="B234" s="12">
        <v>154</v>
      </c>
      <c r="C234" s="10">
        <f t="shared" si="3"/>
        <v>63520.380000000005</v>
      </c>
      <c r="D234" s="10">
        <f>Table20[[#This Row],[Sales]]+Table20[[#This Row],[Units Sold]]</f>
        <v>63674.380000000005</v>
      </c>
    </row>
    <row r="235" spans="1:4" ht="15" thickBot="1">
      <c r="A235" s="24">
        <v>263.63</v>
      </c>
      <c r="B235" s="21">
        <v>102</v>
      </c>
      <c r="C235" s="10">
        <f t="shared" si="3"/>
        <v>26890.26</v>
      </c>
      <c r="D235" s="10">
        <f>Table20[[#This Row],[Sales]]+Table20[[#This Row],[Units Sold]]</f>
        <v>26992.26</v>
      </c>
    </row>
    <row r="236" spans="1:4" ht="15" thickBot="1">
      <c r="A236" s="25">
        <v>66</v>
      </c>
      <c r="B236" s="12">
        <v>318</v>
      </c>
      <c r="C236" s="10">
        <f t="shared" si="3"/>
        <v>20988</v>
      </c>
      <c r="D236" s="10">
        <f>Table20[[#This Row],[Sales]]+Table20[[#This Row],[Units Sold]]</f>
        <v>21306</v>
      </c>
    </row>
    <row r="237" spans="1:4" ht="15" thickBot="1">
      <c r="A237" s="24">
        <v>430.41</v>
      </c>
      <c r="B237" s="21">
        <v>17</v>
      </c>
      <c r="C237" s="10">
        <f t="shared" si="3"/>
        <v>7316.97</v>
      </c>
      <c r="D237" s="10">
        <f>Table20[[#This Row],[Sales]]+Table20[[#This Row],[Units Sold]]</f>
        <v>7333.97</v>
      </c>
    </row>
    <row r="238" spans="1:4" ht="15" thickBot="1">
      <c r="A238" s="25">
        <v>400.89</v>
      </c>
      <c r="B238" s="12">
        <v>88</v>
      </c>
      <c r="C238" s="10">
        <f t="shared" si="3"/>
        <v>35278.32</v>
      </c>
      <c r="D238" s="10">
        <f>Table20[[#This Row],[Sales]]+Table20[[#This Row],[Units Sold]]</f>
        <v>35366.32</v>
      </c>
    </row>
    <row r="239" spans="1:4" ht="15" thickBot="1">
      <c r="A239" s="24">
        <v>96.37</v>
      </c>
      <c r="B239" s="21">
        <v>36</v>
      </c>
      <c r="C239" s="10">
        <f t="shared" si="3"/>
        <v>3469.32</v>
      </c>
      <c r="D239" s="10">
        <f>Table20[[#This Row],[Sales]]+Table20[[#This Row],[Units Sold]]</f>
        <v>3505.32</v>
      </c>
    </row>
    <row r="240" spans="1:4" ht="15" thickBot="1">
      <c r="A240" s="25">
        <v>151.16</v>
      </c>
      <c r="B240" s="12">
        <v>183</v>
      </c>
      <c r="C240" s="10">
        <f t="shared" si="3"/>
        <v>27662.28</v>
      </c>
      <c r="D240" s="10">
        <f>Table20[[#This Row],[Sales]]+Table20[[#This Row],[Units Sold]]</f>
        <v>27845.279999999999</v>
      </c>
    </row>
    <row r="241" spans="1:4" ht="15" thickBot="1">
      <c r="A241" s="24">
        <v>397.74</v>
      </c>
      <c r="B241" s="21">
        <v>59</v>
      </c>
      <c r="C241" s="10">
        <f t="shared" si="3"/>
        <v>23466.66</v>
      </c>
      <c r="D241" s="10">
        <f>Table20[[#This Row],[Sales]]+Table20[[#This Row],[Units Sold]]</f>
        <v>23525.66</v>
      </c>
    </row>
    <row r="242" spans="1:4" ht="15" thickBot="1">
      <c r="A242" s="25">
        <v>96.69</v>
      </c>
      <c r="B242" s="12">
        <v>208</v>
      </c>
      <c r="C242" s="10">
        <f t="shared" si="3"/>
        <v>20111.52</v>
      </c>
      <c r="D242" s="10">
        <f>Table20[[#This Row],[Sales]]+Table20[[#This Row],[Units Sold]]</f>
        <v>20319.52</v>
      </c>
    </row>
    <row r="243" spans="1:4" ht="15" thickBot="1">
      <c r="A243" s="24">
        <v>459.29</v>
      </c>
      <c r="B243" s="21">
        <v>396</v>
      </c>
      <c r="C243" s="10">
        <f t="shared" si="3"/>
        <v>181878.84</v>
      </c>
      <c r="D243" s="10">
        <f>Table20[[#This Row],[Sales]]+Table20[[#This Row],[Units Sold]]</f>
        <v>182274.84</v>
      </c>
    </row>
    <row r="244" spans="1:4" ht="15" thickBot="1">
      <c r="A244" s="25">
        <v>215.14</v>
      </c>
      <c r="B244" s="12">
        <v>358</v>
      </c>
      <c r="C244" s="10">
        <f t="shared" si="3"/>
        <v>77020.12</v>
      </c>
      <c r="D244" s="10">
        <f>Table20[[#This Row],[Sales]]+Table20[[#This Row],[Units Sold]]</f>
        <v>77378.12</v>
      </c>
    </row>
    <row r="245" spans="1:4" ht="15" thickBot="1">
      <c r="A245" s="24">
        <v>48.08</v>
      </c>
      <c r="B245" s="21">
        <v>457</v>
      </c>
      <c r="C245" s="10">
        <f t="shared" si="3"/>
        <v>21972.559999999998</v>
      </c>
      <c r="D245" s="10">
        <f>Table20[[#This Row],[Sales]]+Table20[[#This Row],[Units Sold]]</f>
        <v>22429.559999999998</v>
      </c>
    </row>
    <row r="246" spans="1:4" ht="15" thickBot="1">
      <c r="A246" s="25">
        <v>408.8</v>
      </c>
      <c r="B246" s="12">
        <v>437</v>
      </c>
      <c r="C246" s="10">
        <f t="shared" si="3"/>
        <v>178645.6</v>
      </c>
      <c r="D246" s="10">
        <f>Table20[[#This Row],[Sales]]+Table20[[#This Row],[Units Sold]]</f>
        <v>179082.6</v>
      </c>
    </row>
    <row r="247" spans="1:4" ht="15" thickBot="1">
      <c r="A247" s="24">
        <v>189.89</v>
      </c>
      <c r="B247" s="21">
        <v>190</v>
      </c>
      <c r="C247" s="10">
        <f t="shared" si="3"/>
        <v>36079.1</v>
      </c>
      <c r="D247" s="10">
        <f>Table20[[#This Row],[Sales]]+Table20[[#This Row],[Units Sold]]</f>
        <v>36269.1</v>
      </c>
    </row>
    <row r="248" spans="1:4" ht="15" thickBot="1">
      <c r="A248" s="25">
        <v>265.62</v>
      </c>
      <c r="B248" s="12">
        <v>33</v>
      </c>
      <c r="C248" s="10">
        <f t="shared" si="3"/>
        <v>8765.4600000000009</v>
      </c>
      <c r="D248" s="10">
        <f>Table20[[#This Row],[Sales]]+Table20[[#This Row],[Units Sold]]</f>
        <v>8798.4600000000009</v>
      </c>
    </row>
    <row r="249" spans="1:4" ht="15" thickBot="1">
      <c r="A249" s="24">
        <v>60.59</v>
      </c>
      <c r="B249" s="21">
        <v>325</v>
      </c>
      <c r="C249" s="10">
        <f t="shared" si="3"/>
        <v>19691.75</v>
      </c>
      <c r="D249" s="10">
        <f>Table20[[#This Row],[Sales]]+Table20[[#This Row],[Units Sold]]</f>
        <v>20016.75</v>
      </c>
    </row>
    <row r="250" spans="1:4" ht="15" thickBot="1">
      <c r="A250" s="25">
        <v>6.28</v>
      </c>
      <c r="B250" s="12">
        <v>387</v>
      </c>
      <c r="C250" s="10">
        <f t="shared" si="3"/>
        <v>2430.36</v>
      </c>
      <c r="D250" s="10">
        <f>Table20[[#This Row],[Sales]]+Table20[[#This Row],[Units Sold]]</f>
        <v>2817.36</v>
      </c>
    </row>
    <row r="251" spans="1:4" ht="15" thickBot="1">
      <c r="A251" s="24">
        <v>320.8</v>
      </c>
      <c r="B251" s="21">
        <v>396</v>
      </c>
      <c r="C251" s="10">
        <f t="shared" si="3"/>
        <v>127036.8</v>
      </c>
      <c r="D251" s="10">
        <f>Table20[[#This Row],[Sales]]+Table20[[#This Row],[Units Sold]]</f>
        <v>127432.8</v>
      </c>
    </row>
    <row r="252" spans="1:4" ht="15" thickBot="1">
      <c r="A252" s="25">
        <v>260.01</v>
      </c>
      <c r="B252" s="12">
        <v>413</v>
      </c>
      <c r="C252" s="10">
        <f t="shared" si="3"/>
        <v>107384.12999999999</v>
      </c>
      <c r="D252" s="10">
        <f>Table20[[#This Row],[Sales]]+Table20[[#This Row],[Units Sold]]</f>
        <v>107797.12999999999</v>
      </c>
    </row>
    <row r="253" spans="1:4" ht="15" thickBot="1">
      <c r="A253" s="24">
        <v>298.8</v>
      </c>
      <c r="B253" s="21"/>
      <c r="C253" s="10">
        <f t="shared" si="3"/>
        <v>0</v>
      </c>
      <c r="D253" s="10">
        <f>Table20[[#This Row],[Sales]]+Table20[[#This Row],[Units Sold]]</f>
        <v>0</v>
      </c>
    </row>
    <row r="254" spans="1:4" ht="15" thickBot="1">
      <c r="A254" s="25">
        <v>397.9</v>
      </c>
      <c r="B254" s="12">
        <v>24</v>
      </c>
      <c r="C254" s="10">
        <f t="shared" si="3"/>
        <v>9549.5999999999985</v>
      </c>
      <c r="D254" s="10">
        <f>Table20[[#This Row],[Sales]]+Table20[[#This Row],[Units Sold]]</f>
        <v>9573.5999999999985</v>
      </c>
    </row>
    <row r="255" spans="1:4" ht="15" thickBot="1">
      <c r="A255" s="24">
        <v>325.07</v>
      </c>
      <c r="B255" s="21">
        <v>162</v>
      </c>
      <c r="C255" s="10">
        <f t="shared" si="3"/>
        <v>52661.34</v>
      </c>
      <c r="D255" s="10">
        <f>Table20[[#This Row],[Sales]]+Table20[[#This Row],[Units Sold]]</f>
        <v>52823.34</v>
      </c>
    </row>
    <row r="256" spans="1:4" ht="15" thickBot="1">
      <c r="A256" s="25">
        <v>91.51</v>
      </c>
      <c r="B256" s="12">
        <v>231</v>
      </c>
      <c r="C256" s="10">
        <f t="shared" si="3"/>
        <v>21138.81</v>
      </c>
      <c r="D256" s="10">
        <f>Table20[[#This Row],[Sales]]+Table20[[#This Row],[Units Sold]]</f>
        <v>21369.81</v>
      </c>
    </row>
    <row r="257" spans="1:4" ht="15" thickBot="1">
      <c r="A257" s="24">
        <v>183.58</v>
      </c>
      <c r="B257" s="21">
        <v>215</v>
      </c>
      <c r="C257" s="10">
        <f t="shared" si="3"/>
        <v>39469.700000000004</v>
      </c>
      <c r="D257" s="10">
        <f>Table20[[#This Row],[Sales]]+Table20[[#This Row],[Units Sold]]</f>
        <v>39684.700000000004</v>
      </c>
    </row>
    <row r="258" spans="1:4" ht="15" thickBot="1">
      <c r="A258" s="25">
        <v>453.42</v>
      </c>
      <c r="B258" s="12">
        <v>464</v>
      </c>
      <c r="C258" s="10">
        <f t="shared" si="3"/>
        <v>210386.88</v>
      </c>
      <c r="D258" s="10">
        <f>Table20[[#This Row],[Sales]]+Table20[[#This Row],[Units Sold]]</f>
        <v>210850.88</v>
      </c>
    </row>
    <row r="259" spans="1:4" ht="15" thickBot="1">
      <c r="A259" s="24"/>
      <c r="B259" s="21">
        <v>282</v>
      </c>
      <c r="C259" s="10">
        <f t="shared" si="3"/>
        <v>0</v>
      </c>
      <c r="D259" s="10">
        <f>Table20[[#This Row],[Sales]]+Table20[[#This Row],[Units Sold]]</f>
        <v>282</v>
      </c>
    </row>
    <row r="260" spans="1:4" ht="15" thickBot="1">
      <c r="A260" s="25">
        <v>280.54000000000002</v>
      </c>
      <c r="B260" s="12">
        <v>391</v>
      </c>
      <c r="C260" s="10">
        <f t="shared" ref="C260:C323" si="4">A260*B260</f>
        <v>109691.14000000001</v>
      </c>
      <c r="D260" s="10">
        <f>Table20[[#This Row],[Sales]]+Table20[[#This Row],[Units Sold]]</f>
        <v>110082.14000000001</v>
      </c>
    </row>
    <row r="261" spans="1:4" ht="15" thickBot="1">
      <c r="A261" s="24">
        <v>131.54</v>
      </c>
      <c r="B261" s="21">
        <v>245</v>
      </c>
      <c r="C261" s="10">
        <f t="shared" si="4"/>
        <v>32227.3</v>
      </c>
      <c r="D261" s="10">
        <f>Table20[[#This Row],[Sales]]+Table20[[#This Row],[Units Sold]]</f>
        <v>32472.3</v>
      </c>
    </row>
    <row r="262" spans="1:4" ht="15" thickBot="1">
      <c r="A262" s="25">
        <v>154.52000000000001</v>
      </c>
      <c r="B262" s="12">
        <v>349</v>
      </c>
      <c r="C262" s="10">
        <f t="shared" si="4"/>
        <v>53927.48</v>
      </c>
      <c r="D262" s="10">
        <f>Table20[[#This Row],[Sales]]+Table20[[#This Row],[Units Sold]]</f>
        <v>54276.480000000003</v>
      </c>
    </row>
    <row r="263" spans="1:4" ht="15" thickBot="1">
      <c r="A263" s="24"/>
      <c r="B263" s="21">
        <v>237</v>
      </c>
      <c r="C263" s="10">
        <f t="shared" si="4"/>
        <v>0</v>
      </c>
      <c r="D263" s="10">
        <f>Table20[[#This Row],[Sales]]+Table20[[#This Row],[Units Sold]]</f>
        <v>237</v>
      </c>
    </row>
    <row r="264" spans="1:4" ht="15" thickBot="1">
      <c r="A264" s="25">
        <v>426.33</v>
      </c>
      <c r="B264" s="12">
        <v>18</v>
      </c>
      <c r="C264" s="10">
        <f t="shared" si="4"/>
        <v>7673.94</v>
      </c>
      <c r="D264" s="10">
        <f>Table20[[#This Row],[Sales]]+Table20[[#This Row],[Units Sold]]</f>
        <v>7691.94</v>
      </c>
    </row>
    <row r="265" spans="1:4" ht="15" thickBot="1">
      <c r="A265" s="24">
        <v>337.36</v>
      </c>
      <c r="B265" s="21">
        <v>175</v>
      </c>
      <c r="C265" s="10">
        <f t="shared" si="4"/>
        <v>59038</v>
      </c>
      <c r="D265" s="10">
        <f>Table20[[#This Row],[Sales]]+Table20[[#This Row],[Units Sold]]</f>
        <v>59213</v>
      </c>
    </row>
    <row r="266" spans="1:4" ht="15" thickBot="1">
      <c r="A266" s="25">
        <v>405.72</v>
      </c>
      <c r="B266" s="12">
        <v>441</v>
      </c>
      <c r="C266" s="10">
        <f t="shared" si="4"/>
        <v>178922.52000000002</v>
      </c>
      <c r="D266" s="10">
        <f>Table20[[#This Row],[Sales]]+Table20[[#This Row],[Units Sold]]</f>
        <v>179363.52000000002</v>
      </c>
    </row>
    <row r="267" spans="1:4" ht="15" thickBot="1">
      <c r="A267" s="24">
        <v>384.49</v>
      </c>
      <c r="B267" s="21">
        <v>453</v>
      </c>
      <c r="C267" s="10">
        <f t="shared" si="4"/>
        <v>174173.97</v>
      </c>
      <c r="D267" s="10">
        <f>Table20[[#This Row],[Sales]]+Table20[[#This Row],[Units Sold]]</f>
        <v>174626.97</v>
      </c>
    </row>
    <row r="268" spans="1:4" ht="15" thickBot="1">
      <c r="A268" s="25">
        <v>79.099999999999994</v>
      </c>
      <c r="B268" s="12">
        <v>328</v>
      </c>
      <c r="C268" s="10">
        <f t="shared" si="4"/>
        <v>25944.799999999999</v>
      </c>
      <c r="D268" s="10">
        <f>Table20[[#This Row],[Sales]]+Table20[[#This Row],[Units Sold]]</f>
        <v>26272.799999999999</v>
      </c>
    </row>
    <row r="269" spans="1:4" ht="15" thickBot="1">
      <c r="A269" s="24">
        <v>214.85</v>
      </c>
      <c r="B269" s="21">
        <v>223</v>
      </c>
      <c r="C269" s="10">
        <f t="shared" si="4"/>
        <v>47911.549999999996</v>
      </c>
      <c r="D269" s="10">
        <f>Table20[[#This Row],[Sales]]+Table20[[#This Row],[Units Sold]]</f>
        <v>48134.549999999996</v>
      </c>
    </row>
    <row r="270" spans="1:4" ht="15" thickBot="1">
      <c r="A270" s="25">
        <v>80.73</v>
      </c>
      <c r="B270" s="12">
        <v>126</v>
      </c>
      <c r="C270" s="10">
        <f t="shared" si="4"/>
        <v>10171.980000000001</v>
      </c>
      <c r="D270" s="10">
        <f>Table20[[#This Row],[Sales]]+Table20[[#This Row],[Units Sold]]</f>
        <v>10297.980000000001</v>
      </c>
    </row>
    <row r="271" spans="1:4" ht="15" thickBot="1">
      <c r="A271" s="24">
        <v>121.44</v>
      </c>
      <c r="B271" s="21">
        <v>395</v>
      </c>
      <c r="C271" s="10">
        <f t="shared" si="4"/>
        <v>47968.799999999996</v>
      </c>
      <c r="D271" s="10">
        <f>Table20[[#This Row],[Sales]]+Table20[[#This Row],[Units Sold]]</f>
        <v>48363.799999999996</v>
      </c>
    </row>
    <row r="272" spans="1:4" ht="15" thickBot="1">
      <c r="A272" s="25">
        <v>435.28</v>
      </c>
      <c r="B272" s="12">
        <v>353</v>
      </c>
      <c r="C272" s="10">
        <f t="shared" si="4"/>
        <v>153653.84</v>
      </c>
      <c r="D272" s="10">
        <f>Table20[[#This Row],[Sales]]+Table20[[#This Row],[Units Sold]]</f>
        <v>154006.84</v>
      </c>
    </row>
    <row r="273" spans="1:4" ht="15" thickBot="1">
      <c r="A273" s="24">
        <v>239.08</v>
      </c>
      <c r="B273" s="21">
        <v>81</v>
      </c>
      <c r="C273" s="10">
        <f t="shared" si="4"/>
        <v>19365.48</v>
      </c>
      <c r="D273" s="10">
        <f>Table20[[#This Row],[Sales]]+Table20[[#This Row],[Units Sold]]</f>
        <v>19446.48</v>
      </c>
    </row>
    <row r="274" spans="1:4" ht="15" thickBot="1">
      <c r="A274" s="25">
        <v>270</v>
      </c>
      <c r="B274" s="12">
        <v>404</v>
      </c>
      <c r="C274" s="10">
        <f t="shared" si="4"/>
        <v>109080</v>
      </c>
      <c r="D274" s="10">
        <f>Table20[[#This Row],[Sales]]+Table20[[#This Row],[Units Sold]]</f>
        <v>109484</v>
      </c>
    </row>
    <row r="275" spans="1:4" ht="15" thickBot="1">
      <c r="A275" s="24">
        <v>93.33</v>
      </c>
      <c r="B275" s="21">
        <v>73</v>
      </c>
      <c r="C275" s="10">
        <f t="shared" si="4"/>
        <v>6813.09</v>
      </c>
      <c r="D275" s="10">
        <f>Table20[[#This Row],[Sales]]+Table20[[#This Row],[Units Sold]]</f>
        <v>6886.09</v>
      </c>
    </row>
    <row r="276" spans="1:4" ht="15" thickBot="1">
      <c r="A276" s="25">
        <v>159.57</v>
      </c>
      <c r="B276" s="12">
        <v>214</v>
      </c>
      <c r="C276" s="10">
        <f t="shared" si="4"/>
        <v>34147.979999999996</v>
      </c>
      <c r="D276" s="10">
        <f>Table20[[#This Row],[Sales]]+Table20[[#This Row],[Units Sold]]</f>
        <v>34361.979999999996</v>
      </c>
    </row>
    <row r="277" spans="1:4" ht="15" thickBot="1">
      <c r="A277" s="24">
        <v>118.97</v>
      </c>
      <c r="B277" s="21">
        <v>218</v>
      </c>
      <c r="C277" s="10">
        <f t="shared" si="4"/>
        <v>25935.46</v>
      </c>
      <c r="D277" s="10">
        <f>Table20[[#This Row],[Sales]]+Table20[[#This Row],[Units Sold]]</f>
        <v>26153.46</v>
      </c>
    </row>
    <row r="278" spans="1:4" ht="15" thickBot="1">
      <c r="A278" s="25">
        <v>107.06</v>
      </c>
      <c r="B278" s="12">
        <v>81</v>
      </c>
      <c r="C278" s="10">
        <f t="shared" si="4"/>
        <v>8671.86</v>
      </c>
      <c r="D278" s="10">
        <f>Table20[[#This Row],[Sales]]+Table20[[#This Row],[Units Sold]]</f>
        <v>8752.86</v>
      </c>
    </row>
    <row r="279" spans="1:4" ht="15" thickBot="1">
      <c r="A279" s="24">
        <v>320.79000000000002</v>
      </c>
      <c r="B279" s="21">
        <v>286</v>
      </c>
      <c r="C279" s="10">
        <f t="shared" si="4"/>
        <v>91745.94</v>
      </c>
      <c r="D279" s="10">
        <f>Table20[[#This Row],[Sales]]+Table20[[#This Row],[Units Sold]]</f>
        <v>92031.94</v>
      </c>
    </row>
    <row r="280" spans="1:4" ht="15" thickBot="1">
      <c r="A280" s="25">
        <v>132.16</v>
      </c>
      <c r="B280" s="12">
        <v>283</v>
      </c>
      <c r="C280" s="10">
        <f t="shared" si="4"/>
        <v>37401.279999999999</v>
      </c>
      <c r="D280" s="10">
        <f>Table20[[#This Row],[Sales]]+Table20[[#This Row],[Units Sold]]</f>
        <v>37684.28</v>
      </c>
    </row>
    <row r="281" spans="1:4" ht="15" thickBot="1">
      <c r="A281" s="24">
        <v>317.85000000000002</v>
      </c>
      <c r="B281" s="21">
        <v>487</v>
      </c>
      <c r="C281" s="10">
        <f t="shared" si="4"/>
        <v>154792.95000000001</v>
      </c>
      <c r="D281" s="10">
        <f>Table20[[#This Row],[Sales]]+Table20[[#This Row],[Units Sold]]</f>
        <v>155279.95000000001</v>
      </c>
    </row>
    <row r="282" spans="1:4" ht="15" thickBot="1">
      <c r="A282" s="25">
        <v>33.94</v>
      </c>
      <c r="B282" s="12">
        <v>329</v>
      </c>
      <c r="C282" s="10">
        <f t="shared" si="4"/>
        <v>11166.259999999998</v>
      </c>
      <c r="D282" s="10">
        <f>Table20[[#This Row],[Sales]]+Table20[[#This Row],[Units Sold]]</f>
        <v>11495.259999999998</v>
      </c>
    </row>
    <row r="283" spans="1:4" ht="15" thickBot="1">
      <c r="A283" s="24">
        <v>75.180000000000007</v>
      </c>
      <c r="B283" s="21">
        <v>347</v>
      </c>
      <c r="C283" s="10">
        <f t="shared" si="4"/>
        <v>26087.460000000003</v>
      </c>
      <c r="D283" s="10">
        <f>Table20[[#This Row],[Sales]]+Table20[[#This Row],[Units Sold]]</f>
        <v>26434.460000000003</v>
      </c>
    </row>
    <row r="284" spans="1:4" ht="15" thickBot="1">
      <c r="A284" s="25">
        <v>140.9</v>
      </c>
      <c r="B284" s="12">
        <v>375</v>
      </c>
      <c r="C284" s="10">
        <f t="shared" si="4"/>
        <v>52837.5</v>
      </c>
      <c r="D284" s="10">
        <f>Table20[[#This Row],[Sales]]+Table20[[#This Row],[Units Sold]]</f>
        <v>53212.5</v>
      </c>
    </row>
    <row r="285" spans="1:4" ht="15" thickBot="1">
      <c r="A285" s="24">
        <v>300.54000000000002</v>
      </c>
      <c r="B285" s="21">
        <v>104</v>
      </c>
      <c r="C285" s="10">
        <f t="shared" si="4"/>
        <v>31256.160000000003</v>
      </c>
      <c r="D285" s="10">
        <f>Table20[[#This Row],[Sales]]+Table20[[#This Row],[Units Sold]]</f>
        <v>31360.160000000003</v>
      </c>
    </row>
    <row r="286" spans="1:4" ht="15" thickBot="1">
      <c r="A286" s="25">
        <v>339.54</v>
      </c>
      <c r="B286" s="12">
        <v>175</v>
      </c>
      <c r="C286" s="10">
        <f t="shared" si="4"/>
        <v>59419.5</v>
      </c>
      <c r="D286" s="10">
        <f>Table20[[#This Row],[Sales]]+Table20[[#This Row],[Units Sold]]</f>
        <v>59594.5</v>
      </c>
    </row>
    <row r="287" spans="1:4" ht="15" thickBot="1">
      <c r="A287" s="24">
        <v>224.14</v>
      </c>
      <c r="B287" s="21">
        <v>41</v>
      </c>
      <c r="C287" s="10">
        <f t="shared" si="4"/>
        <v>9189.74</v>
      </c>
      <c r="D287" s="10">
        <f>Table20[[#This Row],[Sales]]+Table20[[#This Row],[Units Sold]]</f>
        <v>9230.74</v>
      </c>
    </row>
    <row r="288" spans="1:4" ht="15" thickBot="1">
      <c r="A288" s="25">
        <v>225.67</v>
      </c>
      <c r="B288" s="12">
        <v>20</v>
      </c>
      <c r="C288" s="10">
        <f t="shared" si="4"/>
        <v>4513.3999999999996</v>
      </c>
      <c r="D288" s="10">
        <f>Table20[[#This Row],[Sales]]+Table20[[#This Row],[Units Sold]]</f>
        <v>4533.3999999999996</v>
      </c>
    </row>
    <row r="289" spans="1:4" ht="15" thickBot="1">
      <c r="A289" s="24">
        <v>363.64</v>
      </c>
      <c r="B289" s="21">
        <v>310</v>
      </c>
      <c r="C289" s="10">
        <f t="shared" si="4"/>
        <v>112728.4</v>
      </c>
      <c r="D289" s="10">
        <f>Table20[[#This Row],[Sales]]+Table20[[#This Row],[Units Sold]]</f>
        <v>113038.39999999999</v>
      </c>
    </row>
    <row r="290" spans="1:4" ht="15" thickBot="1">
      <c r="A290" s="25"/>
      <c r="B290" s="12">
        <v>226</v>
      </c>
      <c r="C290" s="10">
        <f t="shared" si="4"/>
        <v>0</v>
      </c>
      <c r="D290" s="10">
        <f>Table20[[#This Row],[Sales]]+Table20[[#This Row],[Units Sold]]</f>
        <v>226</v>
      </c>
    </row>
    <row r="291" spans="1:4" ht="15" thickBot="1">
      <c r="A291" s="24">
        <v>173.84</v>
      </c>
      <c r="B291" s="21"/>
      <c r="C291" s="10">
        <f t="shared" si="4"/>
        <v>0</v>
      </c>
      <c r="D291" s="10">
        <f>Table20[[#This Row],[Sales]]+Table20[[#This Row],[Units Sold]]</f>
        <v>0</v>
      </c>
    </row>
    <row r="292" spans="1:4" ht="15" thickBot="1">
      <c r="A292" s="25">
        <v>410.26</v>
      </c>
      <c r="B292" s="12">
        <v>111</v>
      </c>
      <c r="C292" s="10">
        <f t="shared" si="4"/>
        <v>45538.86</v>
      </c>
      <c r="D292" s="10">
        <f>Table20[[#This Row],[Sales]]+Table20[[#This Row],[Units Sold]]</f>
        <v>45649.86</v>
      </c>
    </row>
    <row r="293" spans="1:4" ht="15" thickBot="1">
      <c r="A293" s="24">
        <v>303.58999999999997</v>
      </c>
      <c r="B293" s="21">
        <v>434</v>
      </c>
      <c r="C293" s="10">
        <f t="shared" si="4"/>
        <v>131758.06</v>
      </c>
      <c r="D293" s="10">
        <f>Table20[[#This Row],[Sales]]+Table20[[#This Row],[Units Sold]]</f>
        <v>132192.06</v>
      </c>
    </row>
    <row r="294" spans="1:4" ht="15" thickBot="1">
      <c r="A294" s="25">
        <v>171.93</v>
      </c>
      <c r="B294" s="12">
        <v>401</v>
      </c>
      <c r="C294" s="10">
        <f t="shared" si="4"/>
        <v>68943.930000000008</v>
      </c>
      <c r="D294" s="10">
        <f>Table20[[#This Row],[Sales]]+Table20[[#This Row],[Units Sold]]</f>
        <v>69344.930000000008</v>
      </c>
    </row>
    <row r="295" spans="1:4" ht="15" thickBot="1">
      <c r="A295" s="24">
        <v>453.23</v>
      </c>
      <c r="B295" s="21">
        <v>276</v>
      </c>
      <c r="C295" s="10">
        <f t="shared" si="4"/>
        <v>125091.48000000001</v>
      </c>
      <c r="D295" s="10">
        <f>Table20[[#This Row],[Sales]]+Table20[[#This Row],[Units Sold]]</f>
        <v>125367.48000000001</v>
      </c>
    </row>
    <row r="296" spans="1:4" ht="15" thickBot="1">
      <c r="A296" s="25">
        <v>387.45</v>
      </c>
      <c r="B296" s="12"/>
      <c r="C296" s="10">
        <f t="shared" si="4"/>
        <v>0</v>
      </c>
      <c r="D296" s="10">
        <f>Table20[[#This Row],[Sales]]+Table20[[#This Row],[Units Sold]]</f>
        <v>0</v>
      </c>
    </row>
    <row r="297" spans="1:4" ht="15" thickBot="1">
      <c r="A297" s="24">
        <v>136.12</v>
      </c>
      <c r="B297" s="21">
        <v>188</v>
      </c>
      <c r="C297" s="10">
        <f t="shared" si="4"/>
        <v>25590.560000000001</v>
      </c>
      <c r="D297" s="10">
        <f>Table20[[#This Row],[Sales]]+Table20[[#This Row],[Units Sold]]</f>
        <v>25778.560000000001</v>
      </c>
    </row>
    <row r="298" spans="1:4" ht="15" thickBot="1">
      <c r="A298" s="25">
        <v>324.42</v>
      </c>
      <c r="B298" s="12">
        <v>97</v>
      </c>
      <c r="C298" s="10">
        <f t="shared" si="4"/>
        <v>31468.74</v>
      </c>
      <c r="D298" s="10">
        <f>Table20[[#This Row],[Sales]]+Table20[[#This Row],[Units Sold]]</f>
        <v>31565.74</v>
      </c>
    </row>
    <row r="299" spans="1:4" ht="15" thickBot="1">
      <c r="A299" s="24">
        <v>299.89999999999998</v>
      </c>
      <c r="B299" s="21">
        <v>50</v>
      </c>
      <c r="C299" s="10">
        <f t="shared" si="4"/>
        <v>14994.999999999998</v>
      </c>
      <c r="D299" s="10">
        <f>Table20[[#This Row],[Sales]]+Table20[[#This Row],[Units Sold]]</f>
        <v>15044.999999999998</v>
      </c>
    </row>
    <row r="300" spans="1:4" ht="15" thickBot="1">
      <c r="A300" s="25">
        <v>203.59</v>
      </c>
      <c r="B300" s="12">
        <v>410</v>
      </c>
      <c r="C300" s="10">
        <f t="shared" si="4"/>
        <v>83471.899999999994</v>
      </c>
      <c r="D300" s="10">
        <f>Table20[[#This Row],[Sales]]+Table20[[#This Row],[Units Sold]]</f>
        <v>83881.899999999994</v>
      </c>
    </row>
    <row r="301" spans="1:4" ht="15" thickBot="1">
      <c r="A301" s="24">
        <v>186.64</v>
      </c>
      <c r="B301" s="21">
        <v>85</v>
      </c>
      <c r="C301" s="10">
        <f t="shared" si="4"/>
        <v>15864.4</v>
      </c>
      <c r="D301" s="10">
        <f>Table20[[#This Row],[Sales]]+Table20[[#This Row],[Units Sold]]</f>
        <v>15949.4</v>
      </c>
    </row>
    <row r="302" spans="1:4" ht="15" thickBot="1">
      <c r="A302" s="25">
        <v>175.06</v>
      </c>
      <c r="B302" s="12">
        <v>386</v>
      </c>
      <c r="C302" s="10">
        <f t="shared" si="4"/>
        <v>67573.16</v>
      </c>
      <c r="D302" s="10">
        <f>Table20[[#This Row],[Sales]]+Table20[[#This Row],[Units Sold]]</f>
        <v>67959.16</v>
      </c>
    </row>
    <row r="303" spans="1:4" ht="15" thickBot="1">
      <c r="A303" s="24">
        <v>310.49</v>
      </c>
      <c r="B303" s="21">
        <v>55</v>
      </c>
      <c r="C303" s="10">
        <f t="shared" si="4"/>
        <v>17076.95</v>
      </c>
      <c r="D303" s="10">
        <f>Table20[[#This Row],[Sales]]+Table20[[#This Row],[Units Sold]]</f>
        <v>17131.95</v>
      </c>
    </row>
    <row r="304" spans="1:4" ht="15" thickBot="1">
      <c r="A304" s="25">
        <v>223.99</v>
      </c>
      <c r="B304" s="12">
        <v>169</v>
      </c>
      <c r="C304" s="10">
        <f t="shared" si="4"/>
        <v>37854.310000000005</v>
      </c>
      <c r="D304" s="10">
        <f>Table20[[#This Row],[Sales]]+Table20[[#This Row],[Units Sold]]</f>
        <v>38023.310000000005</v>
      </c>
    </row>
    <row r="305" spans="1:4" ht="15" thickBot="1">
      <c r="A305" s="24">
        <v>416.77</v>
      </c>
      <c r="B305" s="21">
        <v>472</v>
      </c>
      <c r="C305" s="10">
        <f t="shared" si="4"/>
        <v>196715.44</v>
      </c>
      <c r="D305" s="10">
        <f>Table20[[#This Row],[Sales]]+Table20[[#This Row],[Units Sold]]</f>
        <v>197187.44</v>
      </c>
    </row>
    <row r="306" spans="1:4" ht="15" thickBot="1">
      <c r="A306" s="25">
        <v>336.45</v>
      </c>
      <c r="B306" s="12">
        <v>89</v>
      </c>
      <c r="C306" s="10">
        <f t="shared" si="4"/>
        <v>29944.05</v>
      </c>
      <c r="D306" s="10">
        <f>Table20[[#This Row],[Sales]]+Table20[[#This Row],[Units Sold]]</f>
        <v>30033.05</v>
      </c>
    </row>
    <row r="307" spans="1:4" ht="15" thickBot="1">
      <c r="A307" s="24">
        <v>39.619999999999997</v>
      </c>
      <c r="B307" s="21">
        <v>319</v>
      </c>
      <c r="C307" s="10">
        <f t="shared" si="4"/>
        <v>12638.779999999999</v>
      </c>
      <c r="D307" s="10">
        <f>Table20[[#This Row],[Sales]]+Table20[[#This Row],[Units Sold]]</f>
        <v>12957.779999999999</v>
      </c>
    </row>
    <row r="308" spans="1:4" ht="15" thickBot="1">
      <c r="A308" s="25">
        <v>321.88</v>
      </c>
      <c r="B308" s="12">
        <v>95</v>
      </c>
      <c r="C308" s="10">
        <f t="shared" si="4"/>
        <v>30578.6</v>
      </c>
      <c r="D308" s="10">
        <f>Table20[[#This Row],[Sales]]+Table20[[#This Row],[Units Sold]]</f>
        <v>30673.599999999999</v>
      </c>
    </row>
    <row r="309" spans="1:4" ht="15" thickBot="1">
      <c r="A309" s="24">
        <v>139.22</v>
      </c>
      <c r="B309" s="21">
        <v>101</v>
      </c>
      <c r="C309" s="10">
        <f t="shared" si="4"/>
        <v>14061.22</v>
      </c>
      <c r="D309" s="10">
        <f>Table20[[#This Row],[Sales]]+Table20[[#This Row],[Units Sold]]</f>
        <v>14162.22</v>
      </c>
    </row>
    <row r="310" spans="1:4" ht="15" thickBot="1">
      <c r="A310" s="25"/>
      <c r="B310" s="12">
        <v>157</v>
      </c>
      <c r="C310" s="10">
        <f t="shared" si="4"/>
        <v>0</v>
      </c>
      <c r="D310" s="10">
        <f>Table20[[#This Row],[Sales]]+Table20[[#This Row],[Units Sold]]</f>
        <v>157</v>
      </c>
    </row>
    <row r="311" spans="1:4" ht="15" thickBot="1">
      <c r="A311" s="24">
        <v>341.67</v>
      </c>
      <c r="B311" s="21">
        <v>170</v>
      </c>
      <c r="C311" s="10">
        <f t="shared" si="4"/>
        <v>58083.9</v>
      </c>
      <c r="D311" s="10">
        <f>Table20[[#This Row],[Sales]]+Table20[[#This Row],[Units Sold]]</f>
        <v>58253.9</v>
      </c>
    </row>
    <row r="312" spans="1:4" ht="15" thickBot="1">
      <c r="A312" s="25">
        <v>119.26</v>
      </c>
      <c r="B312" s="12">
        <v>211</v>
      </c>
      <c r="C312" s="10">
        <f t="shared" si="4"/>
        <v>25163.86</v>
      </c>
      <c r="D312" s="10">
        <f>Table20[[#This Row],[Sales]]+Table20[[#This Row],[Units Sold]]</f>
        <v>25374.86</v>
      </c>
    </row>
    <row r="313" spans="1:4" ht="15" thickBot="1">
      <c r="A313" s="24">
        <v>231.15</v>
      </c>
      <c r="B313" s="21">
        <v>433</v>
      </c>
      <c r="C313" s="10">
        <f t="shared" si="4"/>
        <v>100087.95</v>
      </c>
      <c r="D313" s="10">
        <f>Table20[[#This Row],[Sales]]+Table20[[#This Row],[Units Sold]]</f>
        <v>100520.95</v>
      </c>
    </row>
    <row r="314" spans="1:4" ht="15" thickBot="1">
      <c r="A314" s="25">
        <v>99.21</v>
      </c>
      <c r="B314" s="12">
        <v>425</v>
      </c>
      <c r="C314" s="10">
        <f t="shared" si="4"/>
        <v>42164.25</v>
      </c>
      <c r="D314" s="10">
        <f>Table20[[#This Row],[Sales]]+Table20[[#This Row],[Units Sold]]</f>
        <v>42589.25</v>
      </c>
    </row>
    <row r="315" spans="1:4" ht="15" thickBot="1">
      <c r="A315" s="24">
        <v>30.91</v>
      </c>
      <c r="B315" s="21">
        <v>251</v>
      </c>
      <c r="C315" s="10">
        <f t="shared" si="4"/>
        <v>7758.41</v>
      </c>
      <c r="D315" s="10">
        <f>Table20[[#This Row],[Sales]]+Table20[[#This Row],[Units Sold]]</f>
        <v>8009.41</v>
      </c>
    </row>
    <row r="316" spans="1:4" ht="15" thickBot="1">
      <c r="A316" s="25">
        <v>192.35</v>
      </c>
      <c r="B316" s="12"/>
      <c r="C316" s="10">
        <f t="shared" si="4"/>
        <v>0</v>
      </c>
      <c r="D316" s="10">
        <f>Table20[[#This Row],[Sales]]+Table20[[#This Row],[Units Sold]]</f>
        <v>0</v>
      </c>
    </row>
    <row r="317" spans="1:4" ht="15" thickBot="1">
      <c r="A317" s="24">
        <v>184.66</v>
      </c>
      <c r="B317" s="21">
        <v>11</v>
      </c>
      <c r="C317" s="10">
        <f t="shared" si="4"/>
        <v>2031.26</v>
      </c>
      <c r="D317" s="10">
        <f>Table20[[#This Row],[Sales]]+Table20[[#This Row],[Units Sold]]</f>
        <v>2042.26</v>
      </c>
    </row>
    <row r="318" spans="1:4" ht="15" thickBot="1">
      <c r="A318" s="25">
        <v>497.76</v>
      </c>
      <c r="B318" s="12">
        <v>234</v>
      </c>
      <c r="C318" s="10">
        <f t="shared" si="4"/>
        <v>116475.84</v>
      </c>
      <c r="D318" s="10">
        <f>Table20[[#This Row],[Sales]]+Table20[[#This Row],[Units Sold]]</f>
        <v>116709.84</v>
      </c>
    </row>
    <row r="319" spans="1:4" ht="15" thickBot="1">
      <c r="A319" s="24">
        <v>225.94</v>
      </c>
      <c r="B319" s="21"/>
      <c r="C319" s="10">
        <f t="shared" si="4"/>
        <v>0</v>
      </c>
      <c r="D319" s="10">
        <f>Table20[[#This Row],[Sales]]+Table20[[#This Row],[Units Sold]]</f>
        <v>0</v>
      </c>
    </row>
    <row r="320" spans="1:4" ht="15" thickBot="1">
      <c r="A320" s="25">
        <v>170.12</v>
      </c>
      <c r="B320" s="12">
        <v>242</v>
      </c>
      <c r="C320" s="10">
        <f t="shared" si="4"/>
        <v>41169.040000000001</v>
      </c>
      <c r="D320" s="10">
        <f>Table20[[#This Row],[Sales]]+Table20[[#This Row],[Units Sold]]</f>
        <v>41411.040000000001</v>
      </c>
    </row>
    <row r="321" spans="1:4" ht="15" thickBot="1">
      <c r="A321" s="24">
        <v>292.33999999999997</v>
      </c>
      <c r="B321" s="21">
        <v>470</v>
      </c>
      <c r="C321" s="10">
        <f t="shared" si="4"/>
        <v>137399.79999999999</v>
      </c>
      <c r="D321" s="10">
        <f>Table20[[#This Row],[Sales]]+Table20[[#This Row],[Units Sold]]</f>
        <v>137869.79999999999</v>
      </c>
    </row>
    <row r="322" spans="1:4" ht="15" thickBot="1">
      <c r="A322" s="25">
        <v>48.94</v>
      </c>
      <c r="B322" s="12">
        <v>423</v>
      </c>
      <c r="C322" s="10">
        <f t="shared" si="4"/>
        <v>20701.62</v>
      </c>
      <c r="D322" s="10">
        <f>Table20[[#This Row],[Sales]]+Table20[[#This Row],[Units Sold]]</f>
        <v>21124.62</v>
      </c>
    </row>
    <row r="323" spans="1:4" ht="15" thickBot="1">
      <c r="A323" s="24">
        <v>481.02</v>
      </c>
      <c r="B323" s="21">
        <v>426</v>
      </c>
      <c r="C323" s="10">
        <f t="shared" si="4"/>
        <v>204914.52</v>
      </c>
      <c r="D323" s="10">
        <f>Table20[[#This Row],[Sales]]+Table20[[#This Row],[Units Sold]]</f>
        <v>205340.52</v>
      </c>
    </row>
    <row r="324" spans="1:4" ht="15" thickBot="1">
      <c r="A324" s="25">
        <v>319.31</v>
      </c>
      <c r="B324" s="12">
        <v>86</v>
      </c>
      <c r="C324" s="10">
        <f t="shared" ref="C324:C352" si="5">A324*B324</f>
        <v>27460.66</v>
      </c>
      <c r="D324" s="10">
        <f>Table20[[#This Row],[Sales]]+Table20[[#This Row],[Units Sold]]</f>
        <v>27546.66</v>
      </c>
    </row>
    <row r="325" spans="1:4" ht="15" thickBot="1">
      <c r="A325" s="24">
        <v>378.64</v>
      </c>
      <c r="B325" s="21">
        <v>125</v>
      </c>
      <c r="C325" s="10">
        <f t="shared" si="5"/>
        <v>47330</v>
      </c>
      <c r="D325" s="10">
        <f>Table20[[#This Row],[Sales]]+Table20[[#This Row],[Units Sold]]</f>
        <v>47455</v>
      </c>
    </row>
    <row r="326" spans="1:4" ht="15" thickBot="1">
      <c r="A326" s="25">
        <v>89.39</v>
      </c>
      <c r="B326" s="12">
        <v>163</v>
      </c>
      <c r="C326" s="10">
        <f t="shared" si="5"/>
        <v>14570.57</v>
      </c>
      <c r="D326" s="10">
        <f>Table20[[#This Row],[Sales]]+Table20[[#This Row],[Units Sold]]</f>
        <v>14733.57</v>
      </c>
    </row>
    <row r="327" spans="1:4" ht="15" thickBot="1">
      <c r="A327" s="24">
        <v>207.69</v>
      </c>
      <c r="B327" s="21">
        <v>415</v>
      </c>
      <c r="C327" s="10">
        <f t="shared" si="5"/>
        <v>86191.35</v>
      </c>
      <c r="D327" s="10">
        <f>Table20[[#This Row],[Sales]]+Table20[[#This Row],[Units Sold]]</f>
        <v>86606.35</v>
      </c>
    </row>
    <row r="328" spans="1:4" ht="15" thickBot="1">
      <c r="A328" s="25">
        <v>214.23</v>
      </c>
      <c r="B328" s="12">
        <v>112</v>
      </c>
      <c r="C328" s="10">
        <f t="shared" si="5"/>
        <v>23993.759999999998</v>
      </c>
      <c r="D328" s="10">
        <f>Table20[[#This Row],[Sales]]+Table20[[#This Row],[Units Sold]]</f>
        <v>24105.759999999998</v>
      </c>
    </row>
    <row r="329" spans="1:4" ht="15" thickBot="1">
      <c r="A329" s="24">
        <v>411.79</v>
      </c>
      <c r="B329" s="21">
        <v>203</v>
      </c>
      <c r="C329" s="10">
        <f t="shared" si="5"/>
        <v>83593.37000000001</v>
      </c>
      <c r="D329" s="10">
        <f>Table20[[#This Row],[Sales]]+Table20[[#This Row],[Units Sold]]</f>
        <v>83796.37000000001</v>
      </c>
    </row>
    <row r="330" spans="1:4" ht="15" thickBot="1">
      <c r="A330" s="25">
        <v>5.61</v>
      </c>
      <c r="B330" s="12"/>
      <c r="C330" s="10">
        <f t="shared" si="5"/>
        <v>0</v>
      </c>
      <c r="D330" s="10">
        <f>Table20[[#This Row],[Sales]]+Table20[[#This Row],[Units Sold]]</f>
        <v>0</v>
      </c>
    </row>
    <row r="331" spans="1:4" ht="15" thickBot="1">
      <c r="A331" s="24">
        <v>153.91999999999999</v>
      </c>
      <c r="B331" s="21">
        <v>368</v>
      </c>
      <c r="C331" s="10">
        <f t="shared" si="5"/>
        <v>56642.559999999998</v>
      </c>
      <c r="D331" s="10">
        <f>Table20[[#This Row],[Sales]]+Table20[[#This Row],[Units Sold]]</f>
        <v>57010.559999999998</v>
      </c>
    </row>
    <row r="332" spans="1:4" ht="15" thickBot="1">
      <c r="A332" s="25">
        <v>490.71</v>
      </c>
      <c r="B332" s="12">
        <v>99</v>
      </c>
      <c r="C332" s="10">
        <f t="shared" si="5"/>
        <v>48580.29</v>
      </c>
      <c r="D332" s="10">
        <f>Table20[[#This Row],[Sales]]+Table20[[#This Row],[Units Sold]]</f>
        <v>48679.29</v>
      </c>
    </row>
    <row r="333" spans="1:4" ht="15" thickBot="1">
      <c r="A333" s="24">
        <v>240.07</v>
      </c>
      <c r="B333" s="21">
        <v>183</v>
      </c>
      <c r="C333" s="10">
        <f t="shared" si="5"/>
        <v>43932.81</v>
      </c>
      <c r="D333" s="10">
        <f>Table20[[#This Row],[Sales]]+Table20[[#This Row],[Units Sold]]</f>
        <v>44115.81</v>
      </c>
    </row>
    <row r="334" spans="1:4" ht="15" thickBot="1">
      <c r="A334" s="25">
        <v>194.35</v>
      </c>
      <c r="B334" s="12">
        <v>131</v>
      </c>
      <c r="C334" s="10">
        <f t="shared" si="5"/>
        <v>25459.85</v>
      </c>
      <c r="D334" s="10">
        <f>Table20[[#This Row],[Sales]]+Table20[[#This Row],[Units Sold]]</f>
        <v>25590.85</v>
      </c>
    </row>
    <row r="335" spans="1:4" ht="15" thickBot="1">
      <c r="A335" s="24">
        <v>64.319999999999993</v>
      </c>
      <c r="B335" s="21">
        <v>152</v>
      </c>
      <c r="C335" s="10">
        <f t="shared" si="5"/>
        <v>9776.64</v>
      </c>
      <c r="D335" s="10">
        <f>Table20[[#This Row],[Sales]]+Table20[[#This Row],[Units Sold]]</f>
        <v>9928.64</v>
      </c>
    </row>
    <row r="336" spans="1:4" ht="15" thickBot="1">
      <c r="A336" s="25">
        <v>487.21</v>
      </c>
      <c r="B336" s="12">
        <v>491</v>
      </c>
      <c r="C336" s="10">
        <f t="shared" si="5"/>
        <v>239220.11</v>
      </c>
      <c r="D336" s="10">
        <f>Table20[[#This Row],[Sales]]+Table20[[#This Row],[Units Sold]]</f>
        <v>239711.11</v>
      </c>
    </row>
    <row r="337" spans="1:4" ht="15" thickBot="1">
      <c r="A337" s="24">
        <v>14.91</v>
      </c>
      <c r="B337" s="21">
        <v>115</v>
      </c>
      <c r="C337" s="10">
        <f t="shared" si="5"/>
        <v>1714.65</v>
      </c>
      <c r="D337" s="10">
        <f>Table20[[#This Row],[Sales]]+Table20[[#This Row],[Units Sold]]</f>
        <v>1829.65</v>
      </c>
    </row>
    <row r="338" spans="1:4" ht="15" thickBot="1">
      <c r="A338" s="25">
        <v>369.9</v>
      </c>
      <c r="B338" s="12">
        <v>384</v>
      </c>
      <c r="C338" s="10">
        <f t="shared" si="5"/>
        <v>142041.59999999998</v>
      </c>
      <c r="D338" s="10">
        <f>Table20[[#This Row],[Sales]]+Table20[[#This Row],[Units Sold]]</f>
        <v>142425.59999999998</v>
      </c>
    </row>
    <row r="339" spans="1:4" ht="15" thickBot="1">
      <c r="A339" s="24">
        <v>385.46</v>
      </c>
      <c r="B339" s="21">
        <v>437</v>
      </c>
      <c r="C339" s="10">
        <f t="shared" si="5"/>
        <v>168446.02</v>
      </c>
      <c r="D339" s="10">
        <f>Table20[[#This Row],[Sales]]+Table20[[#This Row],[Units Sold]]</f>
        <v>168883.02</v>
      </c>
    </row>
    <row r="340" spans="1:4" ht="15" thickBot="1">
      <c r="A340" s="25">
        <v>125.61</v>
      </c>
      <c r="B340" s="12">
        <v>314</v>
      </c>
      <c r="C340" s="10">
        <f t="shared" si="5"/>
        <v>39441.54</v>
      </c>
      <c r="D340" s="10">
        <f>Table20[[#This Row],[Sales]]+Table20[[#This Row],[Units Sold]]</f>
        <v>39755.54</v>
      </c>
    </row>
    <row r="341" spans="1:4" ht="15" thickBot="1">
      <c r="A341" s="24">
        <v>337.42</v>
      </c>
      <c r="B341" s="21">
        <v>369</v>
      </c>
      <c r="C341" s="10">
        <f t="shared" si="5"/>
        <v>124507.98000000001</v>
      </c>
      <c r="D341" s="10">
        <f>Table20[[#This Row],[Sales]]+Table20[[#This Row],[Units Sold]]</f>
        <v>124876.98000000001</v>
      </c>
    </row>
    <row r="342" spans="1:4" ht="15" thickBot="1">
      <c r="A342" s="25">
        <v>51</v>
      </c>
      <c r="B342" s="12">
        <v>468</v>
      </c>
      <c r="C342" s="10">
        <f t="shared" si="5"/>
        <v>23868</v>
      </c>
      <c r="D342" s="10">
        <f>Table20[[#This Row],[Sales]]+Table20[[#This Row],[Units Sold]]</f>
        <v>24336</v>
      </c>
    </row>
    <row r="343" spans="1:4" ht="15" thickBot="1">
      <c r="A343" s="24">
        <v>132.24</v>
      </c>
      <c r="B343" s="21">
        <v>326</v>
      </c>
      <c r="C343" s="10">
        <f t="shared" si="5"/>
        <v>43110.240000000005</v>
      </c>
      <c r="D343" s="10">
        <f>Table20[[#This Row],[Sales]]+Table20[[#This Row],[Units Sold]]</f>
        <v>43436.240000000005</v>
      </c>
    </row>
    <row r="344" spans="1:4" ht="15" thickBot="1">
      <c r="A344" s="25">
        <v>395.01</v>
      </c>
      <c r="B344" s="12">
        <v>460</v>
      </c>
      <c r="C344" s="10">
        <f t="shared" si="5"/>
        <v>181704.6</v>
      </c>
      <c r="D344" s="10">
        <f>Table20[[#This Row],[Sales]]+Table20[[#This Row],[Units Sold]]</f>
        <v>182164.6</v>
      </c>
    </row>
    <row r="345" spans="1:4" ht="15" thickBot="1">
      <c r="A345" s="24">
        <v>433.02</v>
      </c>
      <c r="B345" s="21">
        <v>132</v>
      </c>
      <c r="C345" s="10">
        <f t="shared" si="5"/>
        <v>57158.64</v>
      </c>
      <c r="D345" s="10">
        <f>Table20[[#This Row],[Sales]]+Table20[[#This Row],[Units Sold]]</f>
        <v>57290.64</v>
      </c>
    </row>
    <row r="346" spans="1:4" ht="15" thickBot="1">
      <c r="A346" s="25">
        <v>306.2</v>
      </c>
      <c r="B346" s="12">
        <v>399</v>
      </c>
      <c r="C346" s="10">
        <f t="shared" si="5"/>
        <v>122173.79999999999</v>
      </c>
      <c r="D346" s="10">
        <f>Table20[[#This Row],[Sales]]+Table20[[#This Row],[Units Sold]]</f>
        <v>122572.79999999999</v>
      </c>
    </row>
    <row r="347" spans="1:4" ht="15" thickBot="1">
      <c r="A347" s="24">
        <v>255.89</v>
      </c>
      <c r="B347" s="21">
        <v>18</v>
      </c>
      <c r="C347" s="10">
        <f t="shared" si="5"/>
        <v>4606.0199999999995</v>
      </c>
      <c r="D347" s="10">
        <f>Table20[[#This Row],[Sales]]+Table20[[#This Row],[Units Sold]]</f>
        <v>4624.0199999999995</v>
      </c>
    </row>
    <row r="348" spans="1:4" ht="15" thickBot="1">
      <c r="A348" s="25">
        <v>83.86</v>
      </c>
      <c r="B348" s="12">
        <v>271</v>
      </c>
      <c r="C348" s="10">
        <f t="shared" si="5"/>
        <v>22726.06</v>
      </c>
      <c r="D348" s="10">
        <f>Table20[[#This Row],[Sales]]+Table20[[#This Row],[Units Sold]]</f>
        <v>22997.06</v>
      </c>
    </row>
    <row r="349" spans="1:4" ht="15" thickBot="1">
      <c r="A349" s="24">
        <v>36.24</v>
      </c>
      <c r="B349" s="21">
        <v>82</v>
      </c>
      <c r="C349" s="10">
        <f t="shared" si="5"/>
        <v>2971.6800000000003</v>
      </c>
      <c r="D349" s="10">
        <f>Table20[[#This Row],[Sales]]+Table20[[#This Row],[Units Sold]]</f>
        <v>3053.6800000000003</v>
      </c>
    </row>
    <row r="350" spans="1:4" ht="15" thickBot="1">
      <c r="A350" s="25">
        <v>63.24</v>
      </c>
      <c r="B350" s="12">
        <v>368</v>
      </c>
      <c r="C350" s="10">
        <f t="shared" si="5"/>
        <v>23272.32</v>
      </c>
      <c r="D350" s="10">
        <f>Table20[[#This Row],[Sales]]+Table20[[#This Row],[Units Sold]]</f>
        <v>23640.32</v>
      </c>
    </row>
    <row r="351" spans="1:4" ht="15" thickBot="1">
      <c r="A351" s="24">
        <v>117.54</v>
      </c>
      <c r="B351" s="21">
        <v>232</v>
      </c>
      <c r="C351" s="10">
        <f t="shared" si="5"/>
        <v>27269.280000000002</v>
      </c>
      <c r="D351" s="10">
        <f>Table20[[#This Row],[Sales]]+Table20[[#This Row],[Units Sold]]</f>
        <v>27501.280000000002</v>
      </c>
    </row>
    <row r="352" spans="1:4" ht="15" thickBot="1">
      <c r="A352" s="25">
        <v>174.13</v>
      </c>
      <c r="B352" s="12">
        <v>425</v>
      </c>
      <c r="C352" s="10">
        <f t="shared" si="5"/>
        <v>74005.25</v>
      </c>
      <c r="D352" s="10">
        <f>Table20[[#This Row],[Sales]]+Table20[[#This Row],[Units Sold]]</f>
        <v>74430.25</v>
      </c>
    </row>
    <row r="353" spans="3:4">
      <c r="C353" s="10"/>
      <c r="D353" s="10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A6E7-1AC1-4A45-9119-7B5812862E44}">
  <dimension ref="A1:J354"/>
  <sheetViews>
    <sheetView workbookViewId="0">
      <selection activeCell="D2" sqref="D2"/>
    </sheetView>
  </sheetViews>
  <sheetFormatPr defaultRowHeight="14.4"/>
  <cols>
    <col min="1" max="1" width="12.44140625" bestFit="1" customWidth="1"/>
    <col min="2" max="2" width="11.21875" bestFit="1" customWidth="1"/>
    <col min="3" max="3" width="12.21875" bestFit="1" customWidth="1"/>
    <col min="4" max="4" width="13" bestFit="1" customWidth="1"/>
    <col min="5" max="5" width="12.33203125" bestFit="1" customWidth="1"/>
    <col min="6" max="6" width="11.5546875" bestFit="1" customWidth="1"/>
    <col min="7" max="7" width="15.44140625" bestFit="1" customWidth="1"/>
    <col min="8" max="8" width="9.77734375" bestFit="1" customWidth="1"/>
    <col min="9" max="9" width="9.5546875" bestFit="1" customWidth="1"/>
    <col min="10" max="10" width="13.109375" bestFit="1" customWidth="1"/>
  </cols>
  <sheetData>
    <row r="1" spans="1:10">
      <c r="A1" s="7" t="s">
        <v>424</v>
      </c>
    </row>
    <row r="2" spans="1:10">
      <c r="A2" s="7" t="s">
        <v>425</v>
      </c>
    </row>
    <row r="4" spans="1:10" ht="29.4" thickBo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29.4" thickBo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</row>
    <row r="6" spans="1:10" ht="15" thickBot="1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</row>
    <row r="7" spans="1:10" ht="15" thickBot="1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</row>
    <row r="8" spans="1:10" ht="15" thickBot="1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</row>
    <row r="9" spans="1:10" ht="15" thickBot="1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</row>
    <row r="10" spans="1:10" ht="15" thickBot="1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</row>
    <row r="11" spans="1:10" ht="15" thickBot="1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</row>
    <row r="12" spans="1:10" ht="29.4" thickBot="1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</row>
    <row r="13" spans="1:10" ht="29.4" thickBot="1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</row>
    <row r="14" spans="1:10" ht="15" thickBot="1">
      <c r="A14" s="3" t="s">
        <v>35</v>
      </c>
      <c r="B14" s="3"/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</row>
    <row r="15" spans="1:10" ht="15" thickBot="1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</row>
    <row r="16" spans="1:10" ht="15" thickBot="1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</row>
    <row r="17" spans="1:10" ht="15" thickBot="1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</row>
    <row r="18" spans="1:10" ht="15" thickBot="1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</row>
    <row r="19" spans="1:10" ht="29.4" thickBot="1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</row>
    <row r="20" spans="1:10" ht="29.4" thickBot="1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</row>
    <row r="21" spans="1:10" ht="29.4" thickBot="1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</row>
    <row r="22" spans="1:10" ht="15" thickBot="1">
      <c r="A22" s="3" t="s">
        <v>44</v>
      </c>
      <c r="B22" s="3"/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</row>
    <row r="23" spans="1:10" ht="29.4" thickBot="1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</row>
    <row r="24" spans="1:10" ht="15" thickBot="1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</row>
    <row r="25" spans="1:10" ht="29.4" thickBot="1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</row>
    <row r="26" spans="1:10" ht="15" thickBot="1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</row>
    <row r="27" spans="1:10" ht="29.4" thickBot="1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</row>
    <row r="28" spans="1:10" ht="29.4" thickBot="1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</row>
    <row r="29" spans="1:10" ht="15" thickBot="1">
      <c r="A29" s="3" t="s">
        <v>53</v>
      </c>
      <c r="B29" s="3" t="s">
        <v>17</v>
      </c>
      <c r="C29" s="3" t="s">
        <v>18</v>
      </c>
      <c r="D29" s="3"/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</row>
    <row r="30" spans="1:10" ht="29.4" thickBot="1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</row>
    <row r="31" spans="1:10" ht="15" thickBot="1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</row>
    <row r="32" spans="1:10" ht="15" thickBot="1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3"/>
      <c r="J32" s="3">
        <v>383.01</v>
      </c>
    </row>
    <row r="33" spans="1:10" ht="29.4" thickBot="1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</row>
    <row r="34" spans="1:10" ht="29.4" thickBot="1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</row>
    <row r="35" spans="1:10" ht="29.4" thickBot="1">
      <c r="A35" s="3" t="s">
        <v>59</v>
      </c>
      <c r="B35" s="3"/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</row>
    <row r="36" spans="1:10" ht="29.4" thickBot="1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</row>
    <row r="37" spans="1:10" ht="29.4" thickBot="1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</row>
    <row r="38" spans="1:10" ht="15" thickBot="1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</row>
    <row r="39" spans="1:10" ht="15" thickBot="1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</row>
    <row r="40" spans="1:10" ht="29.4" thickBot="1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</row>
    <row r="41" spans="1:10" ht="15" thickBot="1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3"/>
      <c r="J41" s="3">
        <v>332.07</v>
      </c>
    </row>
    <row r="42" spans="1:10" ht="15" thickBot="1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</row>
    <row r="43" spans="1:10" ht="15" thickBot="1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3"/>
      <c r="I43" s="3">
        <v>91.23</v>
      </c>
      <c r="J43" s="3">
        <v>381.21</v>
      </c>
    </row>
    <row r="44" spans="1:10" ht="15" thickBot="1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</row>
    <row r="45" spans="1:10" ht="29.4" thickBot="1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</row>
    <row r="46" spans="1:10" ht="15" thickBot="1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</row>
    <row r="47" spans="1:10" ht="29.4" thickBot="1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</row>
    <row r="48" spans="1:10" ht="29.4" thickBot="1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</row>
    <row r="49" spans="1:10" ht="29.4" thickBot="1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3"/>
      <c r="J49" s="3">
        <v>94.56</v>
      </c>
    </row>
    <row r="50" spans="1:10" ht="29.4" thickBot="1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</row>
    <row r="51" spans="1:10" ht="15" thickBot="1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</row>
    <row r="52" spans="1:10" ht="29.4" thickBot="1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</row>
    <row r="53" spans="1:10" ht="15" thickBot="1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</row>
    <row r="54" spans="1:10" ht="15" thickBot="1">
      <c r="A54" s="3" t="s">
        <v>78</v>
      </c>
      <c r="B54" s="3"/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</row>
    <row r="55" spans="1:10" ht="15" thickBot="1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</row>
    <row r="56" spans="1:10" ht="15" thickBot="1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</row>
    <row r="57" spans="1:10" ht="15" thickBot="1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</row>
    <row r="58" spans="1:10" ht="29.4" thickBot="1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</row>
    <row r="59" spans="1:10" ht="15" thickBot="1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</row>
    <row r="60" spans="1:10" ht="15" thickBot="1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</row>
    <row r="61" spans="1:10" ht="15" thickBot="1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</row>
    <row r="62" spans="1:10" ht="15" thickBot="1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</row>
    <row r="63" spans="1:10" ht="15" thickBot="1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</row>
    <row r="64" spans="1:10" ht="15" thickBot="1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</row>
    <row r="65" spans="1:10" ht="15" thickBot="1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</row>
    <row r="66" spans="1:10" ht="15" thickBot="1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</row>
    <row r="67" spans="1:10" ht="15" thickBot="1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</row>
    <row r="68" spans="1:10" ht="29.4" thickBot="1">
      <c r="A68" s="3" t="s">
        <v>92</v>
      </c>
      <c r="B68" s="3"/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</row>
    <row r="69" spans="1:10" ht="29.4" thickBot="1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</row>
    <row r="70" spans="1:10" ht="15" thickBot="1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</row>
    <row r="71" spans="1:10" ht="15" thickBot="1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</row>
    <row r="72" spans="1:10" ht="29.4" thickBot="1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</row>
    <row r="73" spans="1:10" ht="29.4" thickBot="1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</row>
    <row r="74" spans="1:10" ht="29.4" thickBot="1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</row>
    <row r="75" spans="1:10" ht="29.4" thickBot="1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</row>
    <row r="76" spans="1:10" ht="15" thickBot="1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</row>
    <row r="77" spans="1:10" ht="29.4" thickBot="1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</row>
    <row r="78" spans="1:10" ht="15" thickBot="1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</row>
    <row r="79" spans="1:10" ht="29.4" thickBot="1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</row>
    <row r="80" spans="1:10" ht="29.4" thickBot="1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</row>
    <row r="81" spans="1:10" ht="15" thickBot="1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</row>
    <row r="82" spans="1:10" ht="29.4" thickBot="1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</row>
    <row r="83" spans="1:10" ht="15" thickBot="1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</row>
    <row r="84" spans="1:10" ht="15" thickBot="1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3"/>
      <c r="J84" s="3">
        <v>339.51</v>
      </c>
    </row>
    <row r="85" spans="1:10" ht="29.4" thickBot="1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</row>
    <row r="86" spans="1:10" ht="29.4" thickBot="1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</row>
    <row r="87" spans="1:10" ht="15" thickBot="1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</row>
    <row r="88" spans="1:10" ht="15" thickBot="1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</row>
    <row r="89" spans="1:10" ht="15" thickBot="1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</row>
    <row r="90" spans="1:10" ht="15" thickBot="1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</row>
    <row r="91" spans="1:10" ht="29.4" thickBot="1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</row>
    <row r="92" spans="1:10" ht="29.4" thickBot="1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</row>
    <row r="93" spans="1:10" ht="29.4" thickBot="1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</row>
    <row r="94" spans="1:10" ht="29.4" thickBot="1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</row>
    <row r="95" spans="1:10" ht="15" thickBot="1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</row>
    <row r="96" spans="1:10" ht="29.4" thickBot="1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3"/>
      <c r="J96" s="3">
        <v>55.25</v>
      </c>
    </row>
    <row r="97" spans="1:10" ht="15" thickBot="1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</row>
    <row r="98" spans="1:10" ht="29.4" thickBot="1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</row>
    <row r="99" spans="1:10" ht="15" thickBot="1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</row>
    <row r="100" spans="1:10" ht="29.4" thickBot="1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</row>
    <row r="101" spans="1:10" ht="15" thickBot="1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</row>
    <row r="102" spans="1:10" ht="15" thickBot="1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</row>
    <row r="103" spans="1:10" ht="29.4" thickBot="1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</row>
    <row r="104" spans="1:10" ht="29.4" thickBot="1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</row>
    <row r="105" spans="1:10" ht="29.4" thickBot="1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</row>
    <row r="106" spans="1:10" ht="15" thickBot="1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</row>
    <row r="107" spans="1:10" ht="29.4" thickBot="1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</row>
    <row r="108" spans="1:10" ht="15" thickBot="1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</row>
    <row r="109" spans="1:10" ht="29.4" thickBot="1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</row>
    <row r="110" spans="1:10" ht="29.4" thickBot="1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</row>
    <row r="111" spans="1:10" ht="15" thickBot="1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</row>
    <row r="112" spans="1:10" ht="29.4" thickBot="1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</row>
    <row r="113" spans="1:10" ht="29.4" thickBot="1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</row>
    <row r="114" spans="1:10" ht="29.4" thickBot="1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</row>
    <row r="115" spans="1:10" ht="15" thickBot="1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</row>
    <row r="116" spans="1:10" ht="29.4" thickBot="1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</row>
    <row r="117" spans="1:10" ht="29.4" thickBot="1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</row>
    <row r="118" spans="1:10" ht="29.4" thickBot="1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</row>
    <row r="119" spans="1:10" ht="29.4" thickBot="1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</row>
    <row r="120" spans="1:10" ht="15" thickBot="1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</row>
    <row r="121" spans="1:10" ht="15" thickBot="1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</row>
    <row r="122" spans="1:10" ht="15" thickBot="1">
      <c r="A122" s="3" t="s">
        <v>146</v>
      </c>
      <c r="B122" s="3"/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</row>
    <row r="123" spans="1:10" ht="29.4" thickBot="1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</row>
    <row r="124" spans="1:10" ht="29.4" thickBot="1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</row>
    <row r="125" spans="1:10" ht="29.4" thickBot="1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</row>
    <row r="126" spans="1:10" ht="29.4" thickBot="1">
      <c r="A126" s="3" t="s">
        <v>150</v>
      </c>
      <c r="B126" s="3"/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</row>
    <row r="127" spans="1:10" ht="15" thickBot="1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</row>
    <row r="128" spans="1:10" ht="29.4" thickBot="1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</row>
    <row r="129" spans="1:10" ht="29.4" thickBot="1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</row>
    <row r="130" spans="1:10" ht="15" thickBot="1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</row>
    <row r="131" spans="1:10" ht="29.4" thickBot="1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</row>
    <row r="132" spans="1:10" ht="29.4" thickBot="1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</row>
    <row r="133" spans="1:10" ht="15" thickBot="1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</row>
    <row r="134" spans="1:10" ht="15" thickBot="1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</row>
    <row r="135" spans="1:10" ht="15" thickBot="1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3"/>
      <c r="I135" s="3">
        <v>268.45999999999998</v>
      </c>
      <c r="J135" s="3">
        <v>199.19</v>
      </c>
    </row>
    <row r="136" spans="1:10" ht="15" thickBot="1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</row>
    <row r="137" spans="1:10" ht="15" thickBot="1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</row>
    <row r="138" spans="1:10" ht="15" thickBot="1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</row>
    <row r="139" spans="1:10" ht="15" thickBot="1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</row>
    <row r="140" spans="1:10" ht="15" thickBot="1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</row>
    <row r="141" spans="1:10" ht="15" thickBot="1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</row>
    <row r="142" spans="1:10" ht="29.4" thickBot="1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</row>
    <row r="143" spans="1:10" ht="15" thickBot="1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</row>
    <row r="144" spans="1:10" ht="29.4" thickBot="1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</row>
    <row r="145" spans="1:10" ht="15" thickBot="1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</row>
    <row r="146" spans="1:10" ht="29.4" thickBot="1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</row>
    <row r="147" spans="1:10" ht="29.4" thickBot="1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</row>
    <row r="148" spans="1:10" ht="29.4" thickBot="1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</row>
    <row r="149" spans="1:10" ht="29.4" thickBot="1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</row>
    <row r="150" spans="1:10" ht="15" thickBot="1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</row>
    <row r="151" spans="1:10" ht="15" thickBot="1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</row>
    <row r="152" spans="1:10" ht="15" thickBot="1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</row>
    <row r="153" spans="1:10" ht="15" thickBot="1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</row>
    <row r="154" spans="1:10" ht="15" thickBot="1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</row>
    <row r="155" spans="1:10" ht="15" thickBot="1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</row>
    <row r="156" spans="1:10" ht="15" thickBot="1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</row>
    <row r="157" spans="1:10" ht="15" thickBot="1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</row>
    <row r="158" spans="1:10" ht="15" thickBot="1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</row>
    <row r="159" spans="1:10" ht="15" thickBot="1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</row>
    <row r="160" spans="1:10" ht="15" thickBot="1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</row>
    <row r="161" spans="1:10" ht="15" thickBot="1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3"/>
      <c r="J161" s="3">
        <v>220.75</v>
      </c>
    </row>
    <row r="162" spans="1:10" ht="29.4" thickBot="1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</row>
    <row r="163" spans="1:10" ht="15" thickBot="1">
      <c r="A163" s="3" t="s">
        <v>187</v>
      </c>
      <c r="B163" s="3" t="s">
        <v>22</v>
      </c>
      <c r="C163" s="3" t="s">
        <v>31</v>
      </c>
      <c r="D163" s="3"/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</row>
    <row r="164" spans="1:10" ht="15" thickBot="1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</row>
    <row r="165" spans="1:10" ht="15" thickBot="1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</row>
    <row r="166" spans="1:10" ht="15" thickBot="1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</row>
    <row r="167" spans="1:10" ht="29.4" thickBot="1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</row>
    <row r="168" spans="1:10" ht="29.4" thickBot="1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</row>
    <row r="169" spans="1:10" ht="29.4" thickBot="1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</row>
    <row r="170" spans="1:10" ht="15" thickBot="1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</row>
    <row r="171" spans="1:10" ht="15" thickBot="1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</row>
    <row r="172" spans="1:10" ht="29.4" thickBot="1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</row>
    <row r="173" spans="1:10" ht="15" thickBot="1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</row>
    <row r="174" spans="1:10" ht="29.4" thickBot="1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</row>
    <row r="175" spans="1:10" ht="15" thickBot="1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</row>
    <row r="176" spans="1:10" ht="15" thickBot="1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</row>
    <row r="177" spans="1:10" ht="29.4" thickBot="1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</row>
    <row r="178" spans="1:10" ht="15" thickBot="1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</row>
    <row r="179" spans="1:10" ht="29.4" thickBot="1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</row>
    <row r="180" spans="1:10" ht="15" thickBot="1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</row>
    <row r="181" spans="1:10" ht="29.4" thickBot="1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</row>
    <row r="182" spans="1:10" ht="15" thickBot="1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</row>
    <row r="183" spans="1:10" ht="15" thickBot="1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</row>
    <row r="184" spans="1:10" ht="15" thickBot="1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</row>
    <row r="185" spans="1:10" ht="15" thickBot="1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</row>
    <row r="186" spans="1:10" ht="29.4" thickBot="1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</row>
    <row r="187" spans="1:10" ht="15" thickBot="1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</row>
    <row r="188" spans="1:10" ht="15" thickBot="1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</row>
    <row r="189" spans="1:10" ht="15" thickBot="1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</row>
    <row r="190" spans="1:10" ht="29.4" thickBot="1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</row>
    <row r="191" spans="1:10" ht="15" thickBot="1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</row>
    <row r="192" spans="1:10" ht="15" thickBot="1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</row>
    <row r="193" spans="1:10" ht="15" thickBot="1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</row>
    <row r="194" spans="1:10" ht="29.4" thickBot="1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</row>
    <row r="195" spans="1:10" ht="15" thickBot="1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</row>
    <row r="196" spans="1:10" ht="29.4" thickBot="1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</row>
    <row r="197" spans="1:10" ht="15" thickBot="1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</row>
    <row r="198" spans="1:10" ht="15" thickBot="1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</row>
    <row r="199" spans="1:10" ht="15" thickBot="1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</row>
    <row r="200" spans="1:10" ht="29.4" thickBot="1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</row>
    <row r="201" spans="1:10" ht="29.4" thickBot="1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</row>
    <row r="202" spans="1:10" ht="15" thickBot="1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</row>
    <row r="203" spans="1:10" ht="15" thickBot="1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</row>
    <row r="204" spans="1:10" ht="15" thickBot="1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3"/>
      <c r="I204" s="3">
        <v>407.81</v>
      </c>
      <c r="J204" s="3">
        <v>351.95</v>
      </c>
    </row>
    <row r="205" spans="1:10" ht="29.4" thickBot="1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</row>
    <row r="206" spans="1:10" ht="29.4" thickBot="1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</row>
    <row r="207" spans="1:10" ht="29.4" thickBot="1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</row>
    <row r="208" spans="1:10" ht="29.4" thickBot="1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</row>
    <row r="209" spans="1:10" ht="29.4" thickBot="1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</row>
    <row r="210" spans="1:10" ht="15" thickBot="1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</row>
    <row r="211" spans="1:10" ht="15" thickBot="1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</row>
    <row r="212" spans="1:10" ht="15" thickBot="1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</row>
    <row r="213" spans="1:10" ht="29.4" thickBot="1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</row>
    <row r="214" spans="1:10" ht="15" thickBot="1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</row>
    <row r="215" spans="1:10" ht="15" thickBot="1">
      <c r="A215" s="3" t="s">
        <v>239</v>
      </c>
      <c r="B215" s="3" t="s">
        <v>11</v>
      </c>
      <c r="C215" s="3" t="s">
        <v>50</v>
      </c>
      <c r="D215" s="3"/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</row>
    <row r="216" spans="1:10" ht="15" thickBot="1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</row>
    <row r="217" spans="1:10" ht="29.4" thickBot="1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</row>
    <row r="218" spans="1:10" ht="15" thickBot="1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</row>
    <row r="219" spans="1:10" ht="29.4" thickBot="1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</row>
    <row r="220" spans="1:10" ht="29.4" thickBot="1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</row>
    <row r="221" spans="1:10" ht="15" thickBot="1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</row>
    <row r="222" spans="1:10" ht="29.4" thickBot="1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</row>
    <row r="223" spans="1:10" ht="29.4" thickBot="1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</row>
    <row r="224" spans="1:10" ht="15" thickBot="1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</row>
    <row r="225" spans="1:10" ht="15" thickBot="1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</row>
    <row r="226" spans="1:10" ht="29.4" thickBot="1">
      <c r="A226" s="3" t="s">
        <v>250</v>
      </c>
      <c r="B226" s="3"/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</row>
    <row r="227" spans="1:10" ht="29.4" thickBot="1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</row>
    <row r="228" spans="1:10" ht="15" thickBot="1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</row>
    <row r="229" spans="1:10" ht="29.4" thickBot="1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</row>
    <row r="230" spans="1:10" ht="15" thickBot="1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</row>
    <row r="231" spans="1:10" ht="15" thickBot="1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</row>
    <row r="232" spans="1:10" ht="15" thickBot="1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3"/>
      <c r="I232" s="3">
        <v>49.37</v>
      </c>
      <c r="J232" s="3">
        <v>39.32</v>
      </c>
    </row>
    <row r="233" spans="1:10" ht="15" thickBot="1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</row>
    <row r="234" spans="1:10" ht="29.4" thickBot="1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</row>
    <row r="235" spans="1:10" ht="15" thickBot="1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</row>
    <row r="236" spans="1:10" ht="15" thickBot="1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</row>
    <row r="237" spans="1:10" ht="15" thickBot="1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</row>
    <row r="238" spans="1:10" ht="15" thickBot="1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</row>
    <row r="239" spans="1:10" ht="15" thickBot="1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</row>
    <row r="240" spans="1:10" ht="15" thickBot="1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</row>
    <row r="241" spans="1:10" ht="29.4" thickBot="1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</row>
    <row r="242" spans="1:10" ht="15" thickBot="1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</row>
    <row r="243" spans="1:10" ht="15" thickBot="1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</row>
    <row r="244" spans="1:10" ht="15" thickBot="1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</row>
    <row r="245" spans="1:10" ht="15" thickBot="1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</row>
    <row r="246" spans="1:10" ht="29.4" thickBot="1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</row>
    <row r="247" spans="1:10" ht="29.4" thickBot="1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</row>
    <row r="248" spans="1:10" ht="15" thickBot="1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</row>
    <row r="249" spans="1:10" ht="15" thickBot="1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</row>
    <row r="250" spans="1:10" ht="29.4" thickBot="1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</row>
    <row r="251" spans="1:10" ht="29.4" thickBot="1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</row>
    <row r="252" spans="1:10" ht="15" thickBot="1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</row>
    <row r="253" spans="1:10" ht="15" thickBot="1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</row>
    <row r="254" spans="1:10" ht="29.4" thickBot="1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</row>
    <row r="255" spans="1:10" ht="29.4" thickBot="1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3"/>
      <c r="I255" s="3">
        <v>298.8</v>
      </c>
      <c r="J255" s="3">
        <v>333.41</v>
      </c>
    </row>
    <row r="256" spans="1:10" ht="29.4" thickBot="1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</row>
    <row r="257" spans="1:10" ht="15" thickBot="1">
      <c r="A257" s="3" t="s">
        <v>281</v>
      </c>
      <c r="B257" s="3" t="s">
        <v>17</v>
      </c>
      <c r="C257" s="3" t="s">
        <v>12</v>
      </c>
      <c r="D257" s="3"/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</row>
    <row r="258" spans="1:10" ht="29.4" thickBot="1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</row>
    <row r="259" spans="1:10" ht="15" thickBot="1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</row>
    <row r="260" spans="1:10" ht="15" thickBot="1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</row>
    <row r="261" spans="1:10" ht="15" thickBot="1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3"/>
      <c r="J261" s="3">
        <v>337.1</v>
      </c>
    </row>
    <row r="262" spans="1:10" ht="29.4" thickBot="1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</row>
    <row r="263" spans="1:10" ht="29.4" thickBot="1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</row>
    <row r="264" spans="1:10" ht="15" thickBot="1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</row>
    <row r="265" spans="1:10" ht="15" thickBot="1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3"/>
      <c r="J265" s="3">
        <v>155.38</v>
      </c>
    </row>
    <row r="266" spans="1:10" ht="15" thickBot="1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</row>
    <row r="267" spans="1:10" ht="29.4" thickBot="1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</row>
    <row r="268" spans="1:10" ht="15" thickBot="1">
      <c r="A268" s="3" t="s">
        <v>292</v>
      </c>
      <c r="B268" s="3" t="s">
        <v>22</v>
      </c>
      <c r="C268" s="3" t="s">
        <v>18</v>
      </c>
      <c r="D268" s="3"/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</row>
    <row r="269" spans="1:10" ht="15" thickBot="1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</row>
    <row r="270" spans="1:10" ht="15" thickBot="1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</row>
    <row r="271" spans="1:10" ht="29.4" thickBot="1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</row>
    <row r="272" spans="1:10" ht="29.4" thickBot="1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</row>
    <row r="273" spans="1:10" ht="15" thickBot="1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</row>
    <row r="274" spans="1:10" ht="15" thickBot="1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</row>
    <row r="275" spans="1:10" ht="15" thickBot="1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</row>
    <row r="276" spans="1:10" ht="15" thickBot="1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</row>
    <row r="277" spans="1:10" ht="15" thickBot="1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</row>
    <row r="278" spans="1:10" ht="29.4" thickBot="1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</row>
    <row r="279" spans="1:10" ht="29.4" thickBot="1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</row>
    <row r="280" spans="1:10" ht="29.4" thickBot="1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</row>
    <row r="281" spans="1:10" ht="29.4" thickBot="1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</row>
    <row r="282" spans="1:10" ht="29.4" thickBot="1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</row>
    <row r="283" spans="1:10" ht="29.4" thickBot="1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</row>
    <row r="284" spans="1:10" ht="15" thickBot="1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</row>
    <row r="285" spans="1:10" ht="15" thickBot="1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</row>
    <row r="286" spans="1:10" ht="29.4" thickBot="1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</row>
    <row r="287" spans="1:10" ht="15" thickBot="1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</row>
    <row r="288" spans="1:10" ht="15" thickBot="1">
      <c r="A288" s="3" t="s">
        <v>312</v>
      </c>
      <c r="B288" s="3" t="s">
        <v>11</v>
      </c>
      <c r="C288" s="3" t="s">
        <v>12</v>
      </c>
      <c r="D288" s="3"/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</row>
    <row r="289" spans="1:10" ht="29.4" thickBot="1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</row>
    <row r="290" spans="1:10" ht="15" thickBot="1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</row>
    <row r="291" spans="1:10" ht="15" thickBot="1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</row>
    <row r="292" spans="1:10" ht="15" thickBot="1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3"/>
      <c r="J292" s="3">
        <v>278.77999999999997</v>
      </c>
    </row>
    <row r="293" spans="1:10" ht="15" thickBot="1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3"/>
      <c r="I293" s="3">
        <v>173.84</v>
      </c>
      <c r="J293" s="3">
        <v>298.88</v>
      </c>
    </row>
    <row r="294" spans="1:10" ht="15" thickBot="1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</row>
    <row r="295" spans="1:10" ht="15" thickBot="1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</row>
    <row r="296" spans="1:10" ht="29.4" thickBot="1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</row>
    <row r="297" spans="1:10" ht="15" thickBot="1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</row>
    <row r="298" spans="1:10" ht="29.4" thickBot="1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3"/>
      <c r="I298" s="3">
        <v>387.45</v>
      </c>
      <c r="J298" s="3">
        <v>150.63999999999999</v>
      </c>
    </row>
    <row r="299" spans="1:10" ht="15" thickBot="1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</row>
    <row r="300" spans="1:10" ht="15" thickBot="1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</row>
    <row r="301" spans="1:10" ht="15" thickBot="1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</row>
    <row r="302" spans="1:10" ht="15" thickBot="1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</row>
    <row r="303" spans="1:10" ht="29.4" thickBot="1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</row>
    <row r="304" spans="1:10" ht="15" thickBot="1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</row>
    <row r="305" spans="1:10" ht="29.4" thickBot="1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</row>
    <row r="306" spans="1:10" ht="15" thickBot="1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</row>
    <row r="307" spans="1:10" ht="15" thickBot="1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</row>
    <row r="308" spans="1:10" ht="15" thickBot="1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</row>
    <row r="309" spans="1:10" ht="15" thickBot="1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</row>
    <row r="310" spans="1:10" ht="15" thickBot="1">
      <c r="A310" s="3" t="s">
        <v>334</v>
      </c>
      <c r="B310" s="3" t="s">
        <v>22</v>
      </c>
      <c r="C310" s="3" t="s">
        <v>12</v>
      </c>
      <c r="D310" s="3"/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</row>
    <row r="311" spans="1:10" ht="15" thickBot="1">
      <c r="A311" s="3" t="s">
        <v>335</v>
      </c>
      <c r="B311" s="3" t="s">
        <v>17</v>
      </c>
      <c r="C311" s="3" t="s">
        <v>31</v>
      </c>
      <c r="D311" s="3"/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</row>
    <row r="312" spans="1:10" ht="15" thickBot="1">
      <c r="A312" s="3" t="s">
        <v>336</v>
      </c>
      <c r="B312" s="3" t="s">
        <v>48</v>
      </c>
      <c r="C312" s="3" t="s">
        <v>50</v>
      </c>
      <c r="D312" s="3"/>
      <c r="E312" s="3" t="s">
        <v>14</v>
      </c>
      <c r="F312" s="3" t="s">
        <v>28</v>
      </c>
      <c r="G312" s="4">
        <v>45234</v>
      </c>
      <c r="H312" s="3">
        <v>157</v>
      </c>
      <c r="I312" s="3"/>
      <c r="J312" s="3">
        <v>274.99</v>
      </c>
    </row>
    <row r="313" spans="1:10" ht="15" thickBot="1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</row>
    <row r="314" spans="1:10" ht="29.4" thickBot="1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</row>
    <row r="315" spans="1:10" ht="15" thickBot="1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</row>
    <row r="316" spans="1:10" ht="29.4" thickBot="1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</row>
    <row r="317" spans="1:10" ht="15" thickBot="1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</row>
    <row r="318" spans="1:10" ht="15" thickBot="1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3"/>
      <c r="I318" s="3">
        <v>192.35</v>
      </c>
      <c r="J318" s="3">
        <v>227.09</v>
      </c>
    </row>
    <row r="319" spans="1:10" ht="29.4" thickBot="1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</row>
    <row r="320" spans="1:10" ht="15" thickBot="1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</row>
    <row r="321" spans="1:10" ht="15" thickBot="1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3"/>
      <c r="I321" s="3">
        <v>225.94</v>
      </c>
      <c r="J321" s="3">
        <v>280.7</v>
      </c>
    </row>
    <row r="322" spans="1:10" ht="29.4" thickBot="1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</row>
    <row r="323" spans="1:10" ht="15" thickBot="1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</row>
    <row r="324" spans="1:10" ht="15" thickBot="1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</row>
    <row r="325" spans="1:10" ht="29.4" thickBot="1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</row>
    <row r="326" spans="1:10" ht="15" thickBot="1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</row>
    <row r="327" spans="1:10" ht="15" thickBot="1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</row>
    <row r="328" spans="1:10" ht="15" thickBot="1">
      <c r="A328" s="3" t="s">
        <v>352</v>
      </c>
      <c r="B328" s="3" t="s">
        <v>48</v>
      </c>
      <c r="C328" s="3" t="s">
        <v>18</v>
      </c>
      <c r="D328" s="3"/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</row>
    <row r="329" spans="1:10" ht="29.4" thickBot="1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</row>
    <row r="330" spans="1:10" ht="15" thickBot="1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</row>
    <row r="331" spans="1:10" ht="15" thickBot="1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</row>
    <row r="332" spans="1:10" ht="29.4" thickBot="1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3"/>
      <c r="I332" s="3">
        <v>5.61</v>
      </c>
      <c r="J332" s="3">
        <v>193.4</v>
      </c>
    </row>
    <row r="333" spans="1:10" ht="29.4" thickBot="1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</row>
    <row r="334" spans="1:10" ht="29.4" thickBot="1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</row>
    <row r="335" spans="1:10" ht="29.4" thickBot="1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</row>
    <row r="336" spans="1:10" ht="29.4" thickBot="1">
      <c r="A336" s="3" t="s">
        <v>360</v>
      </c>
      <c r="B336" s="3"/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</row>
    <row r="337" spans="1:10" ht="15" thickBot="1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</row>
    <row r="338" spans="1:10" ht="15" thickBot="1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</row>
    <row r="339" spans="1:10" ht="29.4" thickBot="1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</row>
    <row r="340" spans="1:10" ht="29.4" thickBot="1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</row>
    <row r="341" spans="1:10" ht="15" thickBot="1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</row>
    <row r="342" spans="1:10" ht="15" thickBot="1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</row>
    <row r="343" spans="1:10" ht="15" thickBot="1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</row>
    <row r="344" spans="1:10" ht="29.4" thickBot="1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</row>
    <row r="345" spans="1:10" ht="15" thickBot="1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</row>
    <row r="346" spans="1:10" ht="29.4" thickBot="1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</row>
    <row r="347" spans="1:10" ht="15" thickBot="1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</row>
    <row r="348" spans="1:10" ht="15" thickBot="1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</row>
    <row r="349" spans="1:10" ht="15" thickBot="1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</row>
    <row r="350" spans="1:10" ht="15" thickBot="1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</row>
    <row r="351" spans="1:10" ht="29.4" thickBot="1">
      <c r="A351" s="3" t="s">
        <v>375</v>
      </c>
      <c r="B351" s="3"/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</row>
    <row r="352" spans="1:10" ht="15" thickBot="1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</row>
    <row r="353" spans="1:10" ht="29.4" thickBot="1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</row>
    <row r="354" spans="1:10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 s="5">
        <v>425</v>
      </c>
      <c r="I354" s="5">
        <v>174.13</v>
      </c>
      <c r="J354" s="5">
        <v>315.27999999999997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FAC3-B47A-4A4F-884B-335144DD1B29}">
  <dimension ref="A1:A46"/>
  <sheetViews>
    <sheetView workbookViewId="0">
      <selection activeCell="K18" sqref="K18"/>
    </sheetView>
  </sheetViews>
  <sheetFormatPr defaultRowHeight="14.4"/>
  <sheetData>
    <row r="1" spans="1:1">
      <c r="A1" s="39" t="s">
        <v>426</v>
      </c>
    </row>
    <row r="2" spans="1:1">
      <c r="A2" s="40"/>
    </row>
    <row r="3" spans="1:1">
      <c r="A3" s="41"/>
    </row>
    <row r="4" spans="1:1">
      <c r="A4" s="42" t="s">
        <v>427</v>
      </c>
    </row>
    <row r="5" spans="1:1">
      <c r="A5" s="40"/>
    </row>
    <row r="6" spans="1:1">
      <c r="A6" s="39" t="s">
        <v>428</v>
      </c>
    </row>
    <row r="7" spans="1:1">
      <c r="A7" s="40"/>
    </row>
    <row r="8" spans="1:1">
      <c r="A8" s="41"/>
    </row>
    <row r="9" spans="1:1">
      <c r="A9" s="42" t="s">
        <v>429</v>
      </c>
    </row>
    <row r="10" spans="1:1">
      <c r="A10" s="42" t="s">
        <v>430</v>
      </c>
    </row>
    <row r="11" spans="1:1">
      <c r="A11" s="43" t="s">
        <v>431</v>
      </c>
    </row>
    <row r="12" spans="1:1">
      <c r="A12" s="40"/>
    </row>
    <row r="13" spans="1:1">
      <c r="A13" s="39" t="s">
        <v>432</v>
      </c>
    </row>
    <row r="14" spans="1:1">
      <c r="A14" s="40"/>
    </row>
    <row r="15" spans="1:1">
      <c r="A15" s="41"/>
    </row>
    <row r="16" spans="1:1">
      <c r="A16" s="42" t="s">
        <v>433</v>
      </c>
    </row>
    <row r="17" spans="1:1">
      <c r="A17" s="40"/>
    </row>
    <row r="18" spans="1:1">
      <c r="A18" s="39" t="s">
        <v>434</v>
      </c>
    </row>
    <row r="19" spans="1:1">
      <c r="A19" s="40"/>
    </row>
    <row r="20" spans="1:1">
      <c r="A20" s="41"/>
    </row>
    <row r="21" spans="1:1">
      <c r="A21" s="42" t="s">
        <v>435</v>
      </c>
    </row>
    <row r="22" spans="1:1">
      <c r="A22" s="44" t="s">
        <v>436</v>
      </c>
    </row>
    <row r="23" spans="1:1">
      <c r="A23" s="44" t="s">
        <v>437</v>
      </c>
    </row>
    <row r="24" spans="1:1">
      <c r="A24" s="44" t="s">
        <v>438</v>
      </c>
    </row>
    <row r="25" spans="1:1">
      <c r="A25" s="40"/>
    </row>
    <row r="26" spans="1:1">
      <c r="A26" s="39" t="s">
        <v>439</v>
      </c>
    </row>
    <row r="27" spans="1:1">
      <c r="A27" s="40"/>
    </row>
    <row r="28" spans="1:1">
      <c r="A28" s="41"/>
    </row>
    <row r="29" spans="1:1">
      <c r="A29" s="42" t="s">
        <v>440</v>
      </c>
    </row>
    <row r="30" spans="1:1">
      <c r="A30" s="40"/>
    </row>
    <row r="31" spans="1:1">
      <c r="A31" s="39" t="s">
        <v>441</v>
      </c>
    </row>
    <row r="32" spans="1:1">
      <c r="A32" s="40"/>
    </row>
    <row r="33" spans="1:1">
      <c r="A33" s="41"/>
    </row>
    <row r="34" spans="1:1">
      <c r="A34" s="42" t="s">
        <v>442</v>
      </c>
    </row>
    <row r="35" spans="1:1">
      <c r="A35" s="45" t="s">
        <v>443</v>
      </c>
    </row>
    <row r="36" spans="1:1">
      <c r="A36" s="45" t="s">
        <v>444</v>
      </c>
    </row>
    <row r="37" spans="1:1">
      <c r="A37" s="45" t="s">
        <v>445</v>
      </c>
    </row>
    <row r="38" spans="1:1">
      <c r="A38" s="40"/>
    </row>
    <row r="39" spans="1:1">
      <c r="A39" s="39" t="s">
        <v>446</v>
      </c>
    </row>
    <row r="40" spans="1:1">
      <c r="A40" s="40"/>
    </row>
    <row r="41" spans="1:1">
      <c r="A41" s="41"/>
    </row>
    <row r="42" spans="1:1">
      <c r="A42" s="42" t="s">
        <v>447</v>
      </c>
    </row>
    <row r="43" spans="1:1" ht="20.399999999999999">
      <c r="A43" s="46" t="s">
        <v>448</v>
      </c>
    </row>
    <row r="44" spans="1:1">
      <c r="A44" s="39" t="s">
        <v>449</v>
      </c>
    </row>
    <row r="45" spans="1:1">
      <c r="A45" s="39" t="s">
        <v>450</v>
      </c>
    </row>
    <row r="46" spans="1:1">
      <c r="A46" s="39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DATASET</vt:lpstr>
      <vt:lpstr>Answer 1</vt:lpstr>
      <vt:lpstr>Answer 2</vt:lpstr>
      <vt:lpstr>Answer 2(a)</vt:lpstr>
      <vt:lpstr>Answer 3</vt:lpstr>
      <vt:lpstr>Answer 4</vt:lpstr>
      <vt:lpstr>Answer 5</vt:lpstr>
      <vt:lpstr>Answer 6</vt:lpstr>
      <vt:lpstr>Answer 6(a)</vt:lpstr>
      <vt:lpstr>Answer 6(b)</vt:lpstr>
      <vt:lpstr>Answer 6(c)</vt:lpstr>
      <vt:lpstr>Answer 6(d)</vt:lpstr>
      <vt:lpstr>Answer Final</vt:lpstr>
      <vt:lpstr>Answer 7</vt:lpstr>
      <vt:lpstr>Pivot Table</vt:lpstr>
      <vt:lpstr>Brief Table</vt:lpstr>
      <vt:lpstr>Answer 8</vt:lpstr>
      <vt:lpstr>Answer 8(a)</vt:lpstr>
      <vt:lpstr>Answer 9</vt:lpstr>
      <vt:lpstr>Answer 9(a)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pranchal Agrawal</dc:creator>
  <cp:lastModifiedBy>pranchal Agrawal</cp:lastModifiedBy>
  <dcterms:created xsi:type="dcterms:W3CDTF">2025-12-26T14:11:52Z</dcterms:created>
  <dcterms:modified xsi:type="dcterms:W3CDTF">2025-12-26T17:49:07Z</dcterms:modified>
</cp:coreProperties>
</file>