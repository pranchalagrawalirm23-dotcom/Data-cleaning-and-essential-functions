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ONY\Downloads\"/>
    </mc:Choice>
  </mc:AlternateContent>
  <bookViews>
    <workbookView xWindow="0" yWindow="0" windowWidth="20490" windowHeight="7155" activeTab="2"/>
  </bookViews>
  <sheets>
    <sheet name="Answer 1" sheetId="1" r:id="rId1"/>
    <sheet name="Answer 2" sheetId="2" r:id="rId2"/>
    <sheet name="Answer 3" sheetId="3" r:id="rId3"/>
    <sheet name="Answer 4" sheetId="4" r:id="rId4"/>
    <sheet name="Answer 5" sheetId="5" r:id="rId5"/>
    <sheet name="Answer 6" sheetId="6" r:id="rId6"/>
    <sheet name="Answer 7" sheetId="7" r:id="rId7"/>
    <sheet name="Answer 8" sheetId="8" r:id="rId8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5" i="8" l="1"/>
  <c r="B9" i="8"/>
  <c r="B9" i="7"/>
  <c r="B16" i="6"/>
  <c r="B13" i="6"/>
  <c r="A11" i="3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3" i="2"/>
  <c r="P4" i="2"/>
  <c r="P5" i="2"/>
  <c r="P6" i="2"/>
  <c r="P7" i="2"/>
  <c r="P8" i="2"/>
  <c r="P9" i="2"/>
  <c r="P2" i="2"/>
  <c r="B5" i="2"/>
  <c r="B13" i="1"/>
  <c r="B6" i="1"/>
</calcChain>
</file>

<file path=xl/sharedStrings.xml><?xml version="1.0" encoding="utf-8"?>
<sst xmlns="http://schemas.openxmlformats.org/spreadsheetml/2006/main" count="149" uniqueCount="146">
  <si>
    <t>Q1</t>
  </si>
  <si>
    <t>Simulate 30 rolls with =RANDBETWEEN(1,6). What is the probability of rolling a 3 exactly 5 times? (Hint: Use BINOM.DIST)</t>
  </si>
  <si>
    <t>Step 1: Simulate 30 dice rolls</t>
  </si>
  <si>
    <t>Given:</t>
  </si>
  <si>
    <r>
      <t xml:space="preserve">Number of trials (rolls), </t>
    </r>
    <r>
      <rPr>
        <b/>
        <sz val="11"/>
        <color theme="1"/>
        <rFont val="Calibri"/>
        <family val="2"/>
        <scheme val="minor"/>
      </rPr>
      <t>n = 30</t>
    </r>
  </si>
  <si>
    <r>
      <t xml:space="preserve">Probability of rolling a 3 on one roll, </t>
    </r>
    <r>
      <rPr>
        <b/>
        <sz val="11"/>
        <color theme="1"/>
        <rFont val="Calibri"/>
        <family val="2"/>
        <scheme val="minor"/>
      </rPr>
      <t>p = 1/6</t>
    </r>
  </si>
  <si>
    <r>
      <t xml:space="preserve">Number of times rolling 3, </t>
    </r>
    <r>
      <rPr>
        <b/>
        <sz val="11"/>
        <color theme="1"/>
        <rFont val="Calibri"/>
        <family val="2"/>
        <scheme val="minor"/>
      </rPr>
      <t>x = 5</t>
    </r>
  </si>
  <si>
    <t>Excel Formula (using BINOM.DIST):</t>
  </si>
  <si>
    <t>Result:</t>
  </si>
  <si>
    <t>Probability = 0.1921 (approximately)</t>
  </si>
  <si>
    <t>Q2</t>
  </si>
  <si>
    <t>Generate 100 values in Excel using the continuous uniform distribution RAND() and plot a histogram. Describe the shape of the distribution.</t>
  </si>
  <si>
    <t>Step 1: Generate 100 random values</t>
  </si>
  <si>
    <r>
      <t xml:space="preserve">Drag the formula down till </t>
    </r>
    <r>
      <rPr>
        <b/>
        <sz val="11"/>
        <color theme="1"/>
        <rFont val="Calibri"/>
        <family val="2"/>
        <scheme val="minor"/>
      </rPr>
      <t>A100</t>
    </r>
    <r>
      <rPr>
        <sz val="11"/>
        <color theme="1"/>
        <rFont val="Calibri"/>
        <family val="2"/>
        <scheme val="minor"/>
      </rPr>
      <t>.</t>
    </r>
  </si>
  <si>
    <t>(This generates 100 values between 0 and 1 using a continuous uniform distribution.)</t>
  </si>
  <si>
    <t>Step 2: Create a Histogram</t>
  </si>
  <si>
    <r>
      <t xml:space="preserve">1. Select </t>
    </r>
    <r>
      <rPr>
        <b/>
        <sz val="11"/>
        <color theme="1"/>
        <rFont val="Calibri"/>
        <family val="2"/>
        <scheme val="minor"/>
      </rPr>
      <t>A1:A100</t>
    </r>
  </si>
  <si>
    <r>
      <t xml:space="preserve">2. Go to </t>
    </r>
    <r>
      <rPr>
        <b/>
        <sz val="11"/>
        <color theme="1"/>
        <rFont val="Calibri"/>
        <family val="2"/>
        <scheme val="minor"/>
      </rPr>
      <t>Insert → Charts → Statistical Chart → Histogram</t>
    </r>
  </si>
  <si>
    <t>3. Excel will automatically create the histogram</t>
  </si>
  <si>
    <t>Step 3: Describe the Shape of the Distribution</t>
  </si>
  <si>
    <r>
      <t xml:space="preserve">The histogram shows a </t>
    </r>
    <r>
      <rPr>
        <b/>
        <sz val="11"/>
        <color theme="1"/>
        <rFont val="Calibri"/>
        <family val="2"/>
        <scheme val="minor"/>
      </rPr>
      <t>flat / rectangular shape</t>
    </r>
  </si>
  <si>
    <r>
      <t xml:space="preserve">Values are </t>
    </r>
    <r>
      <rPr>
        <b/>
        <sz val="11"/>
        <color theme="1"/>
        <rFont val="Calibri"/>
        <family val="2"/>
        <scheme val="minor"/>
      </rPr>
      <t>evenly spread</t>
    </r>
    <r>
      <rPr>
        <sz val="11"/>
        <color theme="1"/>
        <rFont val="Calibri"/>
        <family val="2"/>
        <scheme val="minor"/>
      </rPr>
      <t xml:space="preserve"> between 0 and 1</t>
    </r>
  </si>
  <si>
    <t>No skewness or peak is observed</t>
  </si>
  <si>
    <t>Q3</t>
  </si>
  <si>
    <t>A dataset has a mean of 50 and a standard deviation of 5. What percentage of values lie between 45 and 55 if the data follows a normal distribution?</t>
  </si>
  <si>
    <t>Mean (μ) = 50</t>
  </si>
  <si>
    <t>Standard Deviation (σ) = 5</t>
  </si>
  <si>
    <t>Lower value = 45</t>
  </si>
  <si>
    <t>Upper value = 55</t>
  </si>
  <si>
    <t>In any cell, enter:</t>
  </si>
  <si>
    <t>0.6827  (approximately)</t>
  </si>
  <si>
    <t>What is the concept of standardization (z-score), and why is it important in data analysis? Explain the formula and how standardization transforms a dataset.</t>
  </si>
  <si>
    <t>Q4</t>
  </si>
  <si>
    <t>Concept of Standardization (Z-Score):</t>
  </si>
  <si>
    <r>
      <t xml:space="preserve">Standardization is a statistical technique used to </t>
    </r>
    <r>
      <rPr>
        <b/>
        <sz val="11"/>
        <color theme="1"/>
        <rFont val="Calibri"/>
        <family val="2"/>
        <scheme val="minor"/>
      </rPr>
      <t>rescale data</t>
    </r>
    <r>
      <rPr>
        <sz val="11"/>
        <color theme="1"/>
        <rFont val="Calibri"/>
        <family val="2"/>
        <scheme val="minor"/>
      </rPr>
      <t xml:space="preserve"> so that it has a </t>
    </r>
    <r>
      <rPr>
        <b/>
        <sz val="11"/>
        <color theme="1"/>
        <rFont val="Calibri"/>
        <family val="2"/>
        <scheme val="minor"/>
      </rPr>
      <t>mean of 0</t>
    </r>
    <r>
      <rPr>
        <sz val="11"/>
        <color theme="1"/>
        <rFont val="Calibri"/>
        <family val="2"/>
        <scheme val="minor"/>
      </rPr>
      <t xml:space="preserve"> and a </t>
    </r>
    <r>
      <rPr>
        <b/>
        <sz val="11"/>
        <color theme="1"/>
        <rFont val="Calibri"/>
        <family val="2"/>
        <scheme val="minor"/>
      </rPr>
      <t>standard deviation of 1</t>
    </r>
    <r>
      <rPr>
        <sz val="11"/>
        <color theme="1"/>
        <rFont val="Calibri"/>
        <family val="2"/>
        <scheme val="minor"/>
      </rPr>
      <t>.</t>
    </r>
  </si>
  <si>
    <r>
      <t xml:space="preserve">Each value in the dataset is converted into a </t>
    </r>
    <r>
      <rPr>
        <b/>
        <sz val="11"/>
        <color theme="1"/>
        <rFont val="Calibri"/>
        <family val="2"/>
        <scheme val="minor"/>
      </rPr>
      <t>z-score</t>
    </r>
    <r>
      <rPr>
        <sz val="11"/>
        <color theme="1"/>
        <rFont val="Calibri"/>
        <family val="2"/>
        <scheme val="minor"/>
      </rPr>
      <t xml:space="preserve">, which shows </t>
    </r>
    <r>
      <rPr>
        <b/>
        <sz val="11"/>
        <color theme="1"/>
        <rFont val="Calibri"/>
        <family val="2"/>
        <scheme val="minor"/>
      </rPr>
      <t>how many standard deviations</t>
    </r>
    <r>
      <rPr>
        <sz val="11"/>
        <color theme="1"/>
        <rFont val="Calibri"/>
        <family val="2"/>
        <scheme val="minor"/>
      </rPr>
      <t xml:space="preserve"> a value is away from the mean.</t>
    </r>
  </si>
  <si>
    <t>Z-Score Formula:</t>
  </si>
  <si>
    <t>z=X−μ/​sigma</t>
  </si>
  <si>
    <t>Where:</t>
  </si>
  <si>
    <t>X= original data value</t>
  </si>
  <si>
    <t>μ = mean of the dataset</t>
  </si>
  <si>
    <t>σ = standard deviation of the dataset</t>
  </si>
  <si>
    <t>How Standardization Transforms a Dataset:</t>
  </si>
  <si>
    <r>
      <t xml:space="preserve">Original data may have different </t>
    </r>
    <r>
      <rPr>
        <b/>
        <sz val="11"/>
        <color theme="1"/>
        <rFont val="Calibri"/>
        <family val="2"/>
        <scheme val="minor"/>
      </rPr>
      <t>units, scales, or ranges</t>
    </r>
  </si>
  <si>
    <t>After standardization:</t>
  </si>
  <si>
    <r>
      <t xml:space="preserve">Mean becomes </t>
    </r>
    <r>
      <rPr>
        <b/>
        <sz val="11"/>
        <color theme="1"/>
        <rFont val="Calibri"/>
        <family val="2"/>
        <scheme val="minor"/>
      </rPr>
      <t>0</t>
    </r>
  </si>
  <si>
    <r>
      <t xml:space="preserve">Standard deviation becomes </t>
    </r>
    <r>
      <rPr>
        <b/>
        <sz val="11"/>
        <color theme="1"/>
        <rFont val="Calibri"/>
        <family val="2"/>
        <scheme val="minor"/>
      </rPr>
      <t>1</t>
    </r>
  </si>
  <si>
    <r>
      <t xml:space="preserve">Data becomes </t>
    </r>
    <r>
      <rPr>
        <b/>
        <sz val="11"/>
        <color theme="1"/>
        <rFont val="Calibri"/>
        <family val="2"/>
        <scheme val="minor"/>
      </rPr>
      <t>unit-free</t>
    </r>
  </si>
  <si>
    <r>
      <t xml:space="preserve">The </t>
    </r>
    <r>
      <rPr>
        <b/>
        <sz val="11"/>
        <color theme="1"/>
        <rFont val="Calibri"/>
        <family val="2"/>
        <scheme val="minor"/>
      </rPr>
      <t>shape of the distribution remains the same</t>
    </r>
    <r>
      <rPr>
        <sz val="11"/>
        <color theme="1"/>
        <rFont val="Calibri"/>
        <family val="2"/>
        <scheme val="minor"/>
      </rPr>
      <t>, only the scale changes</t>
    </r>
  </si>
  <si>
    <t>Example:</t>
  </si>
  <si>
    <t>If the mean is 50 and standard deviation is 5, a value of 55 will have:</t>
  </si>
  <si>
    <t>z=55-50/5</t>
  </si>
  <si>
    <r>
      <t xml:space="preserve">This means the value is </t>
    </r>
    <r>
      <rPr>
        <b/>
        <sz val="11"/>
        <color theme="1"/>
        <rFont val="Calibri"/>
        <family val="2"/>
        <scheme val="minor"/>
      </rPr>
      <t>1 standard deviation above the mean</t>
    </r>
    <r>
      <rPr>
        <sz val="11"/>
        <color theme="1"/>
        <rFont val="Calibri"/>
        <family val="2"/>
        <scheme val="minor"/>
      </rPr>
      <t>.</t>
    </r>
  </si>
  <si>
    <t>Importance of Standardization in Data Analysis:</t>
  </si>
  <si>
    <r>
      <t xml:space="preserve">Helps </t>
    </r>
    <r>
      <rPr>
        <b/>
        <sz val="11"/>
        <color theme="1"/>
        <rFont val="Calibri"/>
        <family val="2"/>
        <scheme val="minor"/>
      </rPr>
      <t>compare values</t>
    </r>
    <r>
      <rPr>
        <sz val="11"/>
        <color theme="1"/>
        <rFont val="Calibri"/>
        <family val="2"/>
        <scheme val="minor"/>
      </rPr>
      <t xml:space="preserve"> from different datasets</t>
    </r>
  </si>
  <si>
    <t>Required in many techniques such as:</t>
  </si>
  <si>
    <t>Principal Component Analysis (PCA)</t>
  </si>
  <si>
    <r>
      <t xml:space="preserve">Identifies </t>
    </r>
    <r>
      <rPr>
        <b/>
        <sz val="11"/>
        <color theme="1"/>
        <rFont val="Calibri"/>
        <family val="2"/>
        <scheme val="minor"/>
      </rPr>
      <t>outliers</t>
    </r>
    <r>
      <rPr>
        <sz val="11"/>
        <color theme="1"/>
        <rFont val="Calibri"/>
        <family val="2"/>
        <scheme val="minor"/>
      </rPr>
      <t xml:space="preserve"> easily using z-scores</t>
    </r>
  </si>
  <si>
    <r>
      <t xml:space="preserve">Improves performance of </t>
    </r>
    <r>
      <rPr>
        <b/>
        <sz val="11"/>
        <color theme="1"/>
        <rFont val="Calibri"/>
        <family val="2"/>
        <scheme val="minor"/>
      </rPr>
      <t>machine learning algorithms</t>
    </r>
  </si>
  <si>
    <t>Q5</t>
  </si>
  <si>
    <t>What is Kurtosis and their type?</t>
  </si>
  <si>
    <r>
      <t xml:space="preserve">Kurtosis is a statistical measure that describes the </t>
    </r>
    <r>
      <rPr>
        <b/>
        <sz val="11"/>
        <color theme="1"/>
        <rFont val="Calibri"/>
        <family val="2"/>
        <scheme val="minor"/>
      </rPr>
      <t>shape of a distribution</t>
    </r>
    <r>
      <rPr>
        <sz val="11"/>
        <color theme="1"/>
        <rFont val="Calibri"/>
        <family val="2"/>
        <scheme val="minor"/>
      </rPr>
      <t xml:space="preserve">, specifically the </t>
    </r>
    <r>
      <rPr>
        <b/>
        <sz val="11"/>
        <color theme="1"/>
        <rFont val="Calibri"/>
        <family val="2"/>
        <scheme val="minor"/>
      </rPr>
      <t>peakedness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tail heaviness</t>
    </r>
    <r>
      <rPr>
        <sz val="11"/>
        <color theme="1"/>
        <rFont val="Calibri"/>
        <family val="2"/>
        <scheme val="minor"/>
      </rPr>
      <t xml:space="preserve"> of the data compared to a normal distribution.</t>
    </r>
  </si>
  <si>
    <r>
      <t xml:space="preserve">It helps us understand how </t>
    </r>
    <r>
      <rPr>
        <b/>
        <sz val="11"/>
        <color theme="1"/>
        <rFont val="Calibri"/>
        <family val="2"/>
        <scheme val="minor"/>
      </rPr>
      <t>extreme values (outliers)</t>
    </r>
    <r>
      <rPr>
        <sz val="11"/>
        <color theme="1"/>
        <rFont val="Calibri"/>
        <family val="2"/>
        <scheme val="minor"/>
      </rPr>
      <t xml:space="preserve"> are distributed in a dataset.</t>
    </r>
  </si>
  <si>
    <t>Types of Kurtosis</t>
  </si>
  <si>
    <t>1. Mesokurtic</t>
  </si>
  <si>
    <t>Kurtosis ≈ 3 (or excess kurtosis = 0)</t>
  </si>
  <si>
    <r>
      <t xml:space="preserve">Shape similar to a </t>
    </r>
    <r>
      <rPr>
        <b/>
        <sz val="11"/>
        <color theme="1"/>
        <rFont val="Calibri"/>
        <family val="2"/>
        <scheme val="minor"/>
      </rPr>
      <t>normal distribution</t>
    </r>
  </si>
  <si>
    <t>Moderate peak and tails</t>
  </si>
  <si>
    <t>Example: Normal distribution</t>
  </si>
  <si>
    <t>2. Leptokurtic</t>
  </si>
  <si>
    <t>Kurtosis &gt; 3 (positive excess kurtosis)</t>
  </si>
  <si>
    <r>
      <t>High, sharp peak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heavy tails</t>
    </r>
  </si>
  <si>
    <t>Indicates more extreme values (outliers)</t>
  </si>
  <si>
    <t>3. Platykurtic</t>
  </si>
  <si>
    <t>Kurtosis &lt; 3 (negative excess kurtosis)</t>
  </si>
  <si>
    <r>
      <t>Flat peak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light tails</t>
    </r>
  </si>
  <si>
    <t>Fewer extreme values</t>
  </si>
  <si>
    <t>Summary Table</t>
  </si>
  <si>
    <t>Type</t>
  </si>
  <si>
    <t>Kurtosis Value</t>
  </si>
  <si>
    <t>Shape</t>
  </si>
  <si>
    <t>Tails</t>
  </si>
  <si>
    <t>Mesokurtic</t>
  </si>
  <si>
    <t>≈ 3</t>
  </si>
  <si>
    <t>Normal peak</t>
  </si>
  <si>
    <t>Moderate</t>
  </si>
  <si>
    <t>Leptokurtic</t>
  </si>
  <si>
    <t>&gt; 3</t>
  </si>
  <si>
    <t>Sharp peak</t>
  </si>
  <si>
    <t>Heavy</t>
  </si>
  <si>
    <t>Platykurtic</t>
  </si>
  <si>
    <t>&lt; 3</t>
  </si>
  <si>
    <t>Flat peak</t>
  </si>
  <si>
    <t>Light</t>
  </si>
  <si>
    <t>Column1</t>
  </si>
  <si>
    <t>Column2</t>
  </si>
  <si>
    <t>Column3</t>
  </si>
  <si>
    <t>Column4</t>
  </si>
  <si>
    <t>Q6</t>
  </si>
  <si>
    <t>Explain why the uniform distribution is a good model for the outcome of rolling a fair die.</t>
  </si>
  <si>
    <r>
      <t xml:space="preserve">A </t>
    </r>
    <r>
      <rPr>
        <b/>
        <sz val="11"/>
        <color theme="1"/>
        <rFont val="Calibri"/>
        <family val="2"/>
        <scheme val="minor"/>
      </rPr>
      <t>fair die</t>
    </r>
    <r>
      <rPr>
        <sz val="11"/>
        <color theme="1"/>
        <rFont val="Calibri"/>
        <family val="2"/>
        <scheme val="minor"/>
      </rPr>
      <t xml:space="preserve"> has six possible outcomes: 1, 2, 3, 4, 5, and 6.</t>
    </r>
  </si>
  <si>
    <r>
      <t xml:space="preserve">Each outcome has an </t>
    </r>
    <r>
      <rPr>
        <b/>
        <sz val="11"/>
        <color theme="1"/>
        <rFont val="Calibri"/>
        <family val="2"/>
        <scheme val="minor"/>
      </rPr>
      <t>equal chance</t>
    </r>
    <r>
      <rPr>
        <sz val="11"/>
        <color theme="1"/>
        <rFont val="Calibri"/>
        <family val="2"/>
        <scheme val="minor"/>
      </rPr>
      <t xml:space="preserve"> of occurring.</t>
    </r>
  </si>
  <si>
    <t>Because:</t>
  </si>
  <si>
    <r>
      <t xml:space="preserve">All outcomes are </t>
    </r>
    <r>
      <rPr>
        <b/>
        <sz val="11"/>
        <color theme="1"/>
        <rFont val="Calibri"/>
        <family val="2"/>
        <scheme val="minor"/>
      </rPr>
      <t>equally likely</t>
    </r>
  </si>
  <si>
    <r>
      <t xml:space="preserve">Probability of each number = </t>
    </r>
    <r>
      <rPr>
        <b/>
        <sz val="11"/>
        <color theme="1"/>
        <rFont val="Calibri"/>
        <family val="2"/>
        <scheme val="minor"/>
      </rPr>
      <t>1/6</t>
    </r>
  </si>
  <si>
    <t>No outcome is favored over another</t>
  </si>
  <si>
    <r>
      <t xml:space="preserve">👉 The </t>
    </r>
    <r>
      <rPr>
        <b/>
        <sz val="11"/>
        <color theme="1"/>
        <rFont val="Calibri"/>
        <family val="2"/>
        <scheme val="minor"/>
      </rPr>
      <t>uniform distribution</t>
    </r>
    <r>
      <rPr>
        <sz val="11"/>
        <color theme="1"/>
        <rFont val="Calibri"/>
        <family val="2"/>
        <scheme val="minor"/>
      </rPr>
      <t xml:space="preserve"> is a good model for rolling a fair die.</t>
    </r>
  </si>
  <si>
    <t>Probability of any single outcome (e.g., rolling a 3):</t>
  </si>
  <si>
    <t>Simulation of a fair die</t>
  </si>
  <si>
    <r>
      <t xml:space="preserve">This formula generates each number from 1 to 6 with </t>
    </r>
    <r>
      <rPr>
        <b/>
        <sz val="11"/>
        <color theme="1"/>
        <rFont val="Calibri"/>
        <family val="2"/>
        <scheme val="minor"/>
      </rPr>
      <t>equal probability</t>
    </r>
    <r>
      <rPr>
        <sz val="11"/>
        <color theme="1"/>
        <rFont val="Calibri"/>
        <family val="2"/>
        <scheme val="minor"/>
      </rPr>
      <t>, matching a uniform distribution.</t>
    </r>
  </si>
  <si>
    <t>Q7</t>
  </si>
  <si>
    <t>Use Excel to compute the probability of getting at least 8 successes in 15 trials with success probability 0.5</t>
  </si>
  <si>
    <t>Number of trials (n) = 15</t>
  </si>
  <si>
    <t>Success probability (p) = 0.5</t>
  </si>
  <si>
    <t>At least 8 successes = 8 to 15</t>
  </si>
  <si>
    <r>
      <t>BINOM.DIST(7,15,0.5,TRUE)</t>
    </r>
    <r>
      <rPr>
        <sz val="11"/>
        <color theme="1"/>
        <rFont val="Calibri"/>
        <family val="2"/>
        <scheme val="minor"/>
      </rPr>
      <t xml:space="preserve"> calculates the probability of </t>
    </r>
    <r>
      <rPr>
        <b/>
        <sz val="11"/>
        <color theme="1"/>
        <rFont val="Calibri"/>
        <family val="2"/>
        <scheme val="minor"/>
      </rPr>
      <t>at most 7 successes</t>
    </r>
  </si>
  <si>
    <r>
      <t xml:space="preserve">Subtracting from 1 gives the probability of </t>
    </r>
    <r>
      <rPr>
        <b/>
        <sz val="11"/>
        <color theme="1"/>
        <rFont val="Calibri"/>
        <family val="2"/>
        <scheme val="minor"/>
      </rPr>
      <t>at least 8 successes</t>
    </r>
  </si>
  <si>
    <t>Q8</t>
  </si>
  <si>
    <t>How does log transformation help in stabilizing variance and making data more normally distributed?</t>
  </si>
  <si>
    <r>
      <t xml:space="preserve">Log transformation is a data transformation technique used to </t>
    </r>
    <r>
      <rPr>
        <b/>
        <sz val="11"/>
        <color theme="1"/>
        <rFont val="Calibri"/>
        <family val="2"/>
        <scheme val="minor"/>
      </rPr>
      <t>reduce skewness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stabilize variance</t>
    </r>
    <r>
      <rPr>
        <sz val="11"/>
        <color theme="1"/>
        <rFont val="Calibri"/>
        <family val="2"/>
        <scheme val="minor"/>
      </rPr>
      <t xml:space="preserve">, and make data </t>
    </r>
    <r>
      <rPr>
        <b/>
        <sz val="11"/>
        <color theme="1"/>
        <rFont val="Calibri"/>
        <family val="2"/>
        <scheme val="minor"/>
      </rPr>
      <t>closer to a normal distribution</t>
    </r>
    <r>
      <rPr>
        <sz val="11"/>
        <color theme="1"/>
        <rFont val="Calibri"/>
        <family val="2"/>
        <scheme val="minor"/>
      </rPr>
      <t>.</t>
    </r>
  </si>
  <si>
    <r>
      <t xml:space="preserve">It is especially useful when data is </t>
    </r>
    <r>
      <rPr>
        <b/>
        <sz val="11"/>
        <color theme="1"/>
        <rFont val="Calibri"/>
        <family val="2"/>
        <scheme val="minor"/>
      </rPr>
      <t>right-skewed</t>
    </r>
    <r>
      <rPr>
        <sz val="11"/>
        <color theme="1"/>
        <rFont val="Calibri"/>
        <family val="2"/>
        <scheme val="minor"/>
      </rPr>
      <t xml:space="preserve"> or has </t>
    </r>
    <r>
      <rPr>
        <b/>
        <sz val="11"/>
        <color theme="1"/>
        <rFont val="Calibri"/>
        <family val="2"/>
        <scheme val="minor"/>
      </rPr>
      <t>large outliers</t>
    </r>
    <r>
      <rPr>
        <sz val="11"/>
        <color theme="1"/>
        <rFont val="Calibri"/>
        <family val="2"/>
        <scheme val="minor"/>
      </rPr>
      <t>.</t>
    </r>
  </si>
  <si>
    <r>
      <t xml:space="preserve">If original data is in </t>
    </r>
    <r>
      <rPr>
        <b/>
        <sz val="11"/>
        <color theme="1"/>
        <rFont val="Calibri"/>
        <family val="2"/>
        <scheme val="minor"/>
      </rPr>
      <t>A2</t>
    </r>
    <r>
      <rPr>
        <sz val="11"/>
        <color theme="1"/>
        <rFont val="Calibri"/>
        <family val="2"/>
        <scheme val="minor"/>
      </rPr>
      <t>:</t>
    </r>
  </si>
  <si>
    <t>Natural log (base e):</t>
  </si>
  <si>
    <t>Original Data (A)</t>
  </si>
  <si>
    <t>Log Transformed Data (B)</t>
  </si>
  <si>
    <r>
      <t>=LN(A2)</t>
    </r>
    <r>
      <rPr>
        <sz val="11"/>
        <color theme="1"/>
        <rFont val="Calibri"/>
        <family val="2"/>
        <scheme val="minor"/>
      </rPr>
      <t xml:space="preserve"> → 2.30</t>
    </r>
  </si>
  <si>
    <t>50</t>
  </si>
  <si>
    <r>
      <t>=LN(A3)</t>
    </r>
    <r>
      <rPr>
        <sz val="11"/>
        <color theme="1"/>
        <rFont val="Calibri"/>
        <family val="2"/>
        <scheme val="minor"/>
      </rPr>
      <t xml:space="preserve"> → 3.91</t>
    </r>
  </si>
  <si>
    <t>200</t>
  </si>
  <si>
    <r>
      <t>=LN(A4)</t>
    </r>
    <r>
      <rPr>
        <sz val="11"/>
        <color theme="1"/>
        <rFont val="Calibri"/>
        <family val="2"/>
        <scheme val="minor"/>
      </rPr>
      <t xml:space="preserve"> → 5.30</t>
    </r>
  </si>
  <si>
    <t>1,000</t>
  </si>
  <si>
    <r>
      <t>=LN(A5)</t>
    </r>
    <r>
      <rPr>
        <sz val="11"/>
        <color theme="1"/>
        <rFont val="Calibri"/>
        <family val="2"/>
        <scheme val="minor"/>
      </rPr>
      <t xml:space="preserve"> → 6.91</t>
    </r>
  </si>
  <si>
    <t>5,000</t>
  </si>
  <si>
    <r>
      <t>=LN(A6)</t>
    </r>
    <r>
      <rPr>
        <sz val="11"/>
        <color theme="1"/>
        <rFont val="Calibri"/>
        <family val="2"/>
        <scheme val="minor"/>
      </rPr>
      <t xml:space="preserve"> → 8.52</t>
    </r>
  </si>
  <si>
    <t>Log base 10:</t>
  </si>
  <si>
    <t>How Log Transformation Helps</t>
  </si>
  <si>
    <t>1. Stabilizes Variance</t>
  </si>
  <si>
    <t>Large values are compressed more than small values</t>
  </si>
  <si>
    <t>Reduces the effect of extreme values</t>
  </si>
  <si>
    <t>Makes variance more consistent across data</t>
  </si>
  <si>
    <t>2. Reduces Right Skewness</t>
  </si>
  <si>
    <t>Pulls long right tails inward</t>
  </si>
  <si>
    <t>Distribution becomes more symmetric</t>
  </si>
  <si>
    <t>3. Improves Normality</t>
  </si>
  <si>
    <t>Transformed data often resembles a bell-shaped curve</t>
  </si>
  <si>
    <t>Helpful for statistical tests assuming normality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</si>
</sst>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Arial Unicode MS"/>
      <family val="2"/>
    </font>
    <font>
      <b/>
      <sz val="13.5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0" fontId="4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0" fillId="2" borderId="0" xfId="0" applyFill="1"/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1" fillId="0" borderId="0" xfId="0" applyFont="1" applyAlignment="1">
      <alignment horizontal="left"/>
    </xf>
    <xf numFmtId="0" fontId="0" fillId="3" borderId="0" xfId="0" applyFill="1"/>
    <xf numFmtId="0" fontId="0" fillId="0" borderId="0" xfId="0" applyAlignment="1">
      <alignment horizontal="left" vertical="center" indent="2"/>
    </xf>
    <xf numFmtId="0" fontId="1" fillId="0" borderId="0" xfId="0" applyFont="1" applyAlignment="1">
      <alignment horizontal="left" vertical="center" indent="1"/>
    </xf>
    <xf numFmtId="0" fontId="1" fillId="0" borderId="0" xfId="0" applyFont="1" applyAlignment="1">
      <alignment horizontal="left" vertical="center" indent="2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/>
    <xf numFmtId="0" fontId="3" fillId="0" borderId="0" xfId="0" applyFont="1" applyAlignment="1">
      <alignment horizontal="center" vertical="center" wrapText="1"/>
    </xf>
  </cellXfs>
  <cellStyles count="1">
    <cellStyle name="Normal" xfId="0" builtinId="0"/>
  </cellStyles>
  <dxfs count="9">
    <dxf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B25:E31" totalsRowShown="0" dataDxfId="4">
  <autoFilter ref="B25:E31"/>
  <tableColumns count="4">
    <tableColumn id="1" name="Column1" dataDxfId="8"/>
    <tableColumn id="2" name="Column2" dataDxfId="7"/>
    <tableColumn id="3" name="Column3" dataDxfId="6"/>
    <tableColumn id="4" name="Column4" dataDxfId="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F7:G12" totalsRowShown="0" headerRowDxfId="3" dataDxfId="0">
  <autoFilter ref="F7:G12"/>
  <tableColumns count="2">
    <tableColumn id="1" name="Original Data (A)" dataDxfId="2"/>
    <tableColumn id="2" name="Log Transformed Data (B)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"/>
  <sheetViews>
    <sheetView workbookViewId="0">
      <selection activeCell="G11" sqref="G11"/>
    </sheetView>
  </sheetViews>
  <sheetFormatPr defaultRowHeight="15" x14ac:dyDescent="0.25"/>
  <sheetData>
    <row r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5" spans="1:13" ht="15.75" x14ac:dyDescent="0.25">
      <c r="A5" s="2" t="s">
        <v>2</v>
      </c>
    </row>
    <row r="6" spans="1:13" x14ac:dyDescent="0.25">
      <c r="B6" s="7">
        <f ca="1">RANDBETWEEN(1,6)</f>
        <v>2</v>
      </c>
    </row>
    <row r="8" spans="1:13" ht="18" x14ac:dyDescent="0.25">
      <c r="A8" s="4" t="s">
        <v>3</v>
      </c>
    </row>
    <row r="9" spans="1:13" x14ac:dyDescent="0.25">
      <c r="A9" s="5" t="s">
        <v>4</v>
      </c>
    </row>
    <row r="10" spans="1:13" x14ac:dyDescent="0.25">
      <c r="A10" s="5" t="s">
        <v>5</v>
      </c>
    </row>
    <row r="11" spans="1:13" x14ac:dyDescent="0.25">
      <c r="A11" s="5" t="s">
        <v>6</v>
      </c>
    </row>
    <row r="12" spans="1:13" ht="18" x14ac:dyDescent="0.25">
      <c r="A12" s="4" t="s">
        <v>7</v>
      </c>
    </row>
    <row r="13" spans="1:13" x14ac:dyDescent="0.25">
      <c r="B13" s="7">
        <f>_xlfn.BINOM.DIST(5,30,1/6,FALSE)</f>
        <v>0.19210813105163416</v>
      </c>
    </row>
    <row r="14" spans="1:13" ht="18" x14ac:dyDescent="0.25">
      <c r="A14" s="4" t="s">
        <v>8</v>
      </c>
    </row>
    <row r="15" spans="1:13" x14ac:dyDescent="0.25">
      <c r="A15" s="1" t="s">
        <v>9</v>
      </c>
      <c r="B15" s="6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9"/>
  <sheetViews>
    <sheetView workbookViewId="0">
      <selection activeCell="F10" sqref="F10"/>
    </sheetView>
  </sheetViews>
  <sheetFormatPr defaultRowHeight="15" x14ac:dyDescent="0.25"/>
  <sheetData>
    <row r="1" spans="1:21" x14ac:dyDescent="0.25">
      <c r="A1" s="1" t="s">
        <v>10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8"/>
      <c r="P1" s="8"/>
      <c r="Q1" s="8"/>
      <c r="R1" s="1"/>
      <c r="S1" s="1"/>
      <c r="T1" s="1"/>
      <c r="U1" s="1"/>
    </row>
    <row r="2" spans="1:21" x14ac:dyDescent="0.25">
      <c r="A2" s="1" t="s">
        <v>11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9">
        <v>1</v>
      </c>
      <c r="P2" s="10">
        <f ca="1">RAND()</f>
        <v>0.57015956636501119</v>
      </c>
      <c r="Q2" s="8"/>
      <c r="R2" s="1"/>
      <c r="S2" s="1"/>
      <c r="T2" s="1"/>
      <c r="U2" s="1"/>
    </row>
    <row r="3" spans="1:2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9">
        <v>2</v>
      </c>
      <c r="P3" s="10">
        <f t="shared" ref="P3:P66" ca="1" si="0">RAND()</f>
        <v>0.59952898665327625</v>
      </c>
      <c r="Q3" s="8"/>
      <c r="R3" s="1"/>
      <c r="S3" s="1"/>
      <c r="T3" s="1"/>
      <c r="U3" s="1"/>
    </row>
    <row r="4" spans="1:21" x14ac:dyDescent="0.25">
      <c r="A4" s="1" t="s">
        <v>12</v>
      </c>
      <c r="B4" s="1"/>
      <c r="C4" s="1"/>
      <c r="D4" s="1"/>
      <c r="O4" s="9">
        <v>3</v>
      </c>
      <c r="P4" s="10">
        <f t="shared" ca="1" si="0"/>
        <v>0.72305641818091204</v>
      </c>
      <c r="Q4" s="3"/>
    </row>
    <row r="5" spans="1:21" x14ac:dyDescent="0.25">
      <c r="B5" s="6">
        <f ca="1">RAND()</f>
        <v>0.52919885284649293</v>
      </c>
      <c r="O5" s="9">
        <v>4</v>
      </c>
      <c r="P5" s="10">
        <f t="shared" ca="1" si="0"/>
        <v>0.97117615143682945</v>
      </c>
      <c r="Q5" s="3"/>
    </row>
    <row r="6" spans="1:21" x14ac:dyDescent="0.25">
      <c r="A6" t="s">
        <v>13</v>
      </c>
      <c r="O6" s="9">
        <v>5</v>
      </c>
      <c r="P6" s="10">
        <f t="shared" ca="1" si="0"/>
        <v>0.92050094704475538</v>
      </c>
      <c r="Q6" s="3"/>
    </row>
    <row r="7" spans="1:21" x14ac:dyDescent="0.25">
      <c r="A7" t="s">
        <v>14</v>
      </c>
      <c r="O7" s="9">
        <v>6</v>
      </c>
      <c r="P7" s="10">
        <f t="shared" ca="1" si="0"/>
        <v>0.40536811165039366</v>
      </c>
      <c r="Q7" s="3"/>
    </row>
    <row r="8" spans="1:21" x14ac:dyDescent="0.25">
      <c r="O8" s="9">
        <v>7</v>
      </c>
      <c r="P8" s="10">
        <f t="shared" ca="1" si="0"/>
        <v>0.90970034814975609</v>
      </c>
      <c r="Q8" s="3"/>
    </row>
    <row r="9" spans="1:21" ht="15.75" x14ac:dyDescent="0.25">
      <c r="A9" s="2" t="s">
        <v>15</v>
      </c>
      <c r="O9" s="9">
        <v>8</v>
      </c>
      <c r="P9" s="10">
        <f t="shared" ca="1" si="0"/>
        <v>0.38091387005412525</v>
      </c>
      <c r="Q9" s="3"/>
    </row>
    <row r="10" spans="1:21" x14ac:dyDescent="0.25">
      <c r="A10" s="5" t="s">
        <v>16</v>
      </c>
      <c r="O10" s="9">
        <v>9</v>
      </c>
      <c r="P10" s="10">
        <f t="shared" ca="1" si="0"/>
        <v>0.85512908012331368</v>
      </c>
      <c r="Q10" s="3"/>
    </row>
    <row r="11" spans="1:21" x14ac:dyDescent="0.25">
      <c r="A11" s="5" t="s">
        <v>17</v>
      </c>
      <c r="O11" s="9">
        <v>10</v>
      </c>
      <c r="P11" s="10">
        <f t="shared" ca="1" si="0"/>
        <v>0.83035396801961314</v>
      </c>
      <c r="Q11" s="3"/>
    </row>
    <row r="12" spans="1:21" x14ac:dyDescent="0.25">
      <c r="A12" s="5" t="s">
        <v>18</v>
      </c>
      <c r="O12" s="9">
        <v>11</v>
      </c>
      <c r="P12" s="10">
        <f t="shared" ca="1" si="0"/>
        <v>0.33444058669734722</v>
      </c>
      <c r="Q12" s="3"/>
    </row>
    <row r="13" spans="1:21" x14ac:dyDescent="0.25">
      <c r="O13" s="9">
        <v>12</v>
      </c>
      <c r="P13" s="10">
        <f t="shared" ca="1" si="0"/>
        <v>0.4249964843694366</v>
      </c>
      <c r="Q13" s="3"/>
    </row>
    <row r="14" spans="1:21" ht="15.75" x14ac:dyDescent="0.25">
      <c r="A14" s="2" t="s">
        <v>19</v>
      </c>
      <c r="O14" s="9">
        <v>13</v>
      </c>
      <c r="P14" s="10">
        <f t="shared" ca="1" si="0"/>
        <v>0.48874446435069208</v>
      </c>
      <c r="Q14" s="3"/>
    </row>
    <row r="15" spans="1:21" x14ac:dyDescent="0.25">
      <c r="A15" s="5" t="s">
        <v>20</v>
      </c>
      <c r="O15" s="9">
        <v>14</v>
      </c>
      <c r="P15" s="10">
        <f t="shared" ca="1" si="0"/>
        <v>0.60220290287549838</v>
      </c>
      <c r="Q15" s="3"/>
    </row>
    <row r="16" spans="1:21" x14ac:dyDescent="0.25">
      <c r="A16" s="5" t="s">
        <v>21</v>
      </c>
      <c r="O16" s="9">
        <v>15</v>
      </c>
      <c r="P16" s="10">
        <f t="shared" ca="1" si="0"/>
        <v>1.2984301687433586E-2</v>
      </c>
      <c r="Q16" s="3"/>
    </row>
    <row r="17" spans="1:17" x14ac:dyDescent="0.25">
      <c r="A17" s="5" t="s">
        <v>22</v>
      </c>
      <c r="O17" s="9">
        <v>16</v>
      </c>
      <c r="P17" s="10">
        <f t="shared" ca="1" si="0"/>
        <v>0.50499011840027264</v>
      </c>
      <c r="Q17" s="3"/>
    </row>
    <row r="18" spans="1:17" x14ac:dyDescent="0.25">
      <c r="O18" s="9">
        <v>17</v>
      </c>
      <c r="P18" s="10">
        <f t="shared" ca="1" si="0"/>
        <v>0.96115876649791476</v>
      </c>
      <c r="Q18" s="3"/>
    </row>
    <row r="19" spans="1:17" x14ac:dyDescent="0.25">
      <c r="O19" s="9">
        <v>18</v>
      </c>
      <c r="P19" s="10">
        <f t="shared" ca="1" si="0"/>
        <v>0.58271985865530629</v>
      </c>
      <c r="Q19" s="3"/>
    </row>
    <row r="20" spans="1:17" x14ac:dyDescent="0.25">
      <c r="O20" s="9">
        <v>19</v>
      </c>
      <c r="P20" s="10">
        <f t="shared" ca="1" si="0"/>
        <v>0.3117599859271748</v>
      </c>
      <c r="Q20" s="3"/>
    </row>
    <row r="21" spans="1:17" x14ac:dyDescent="0.25">
      <c r="O21" s="9">
        <v>20</v>
      </c>
      <c r="P21" s="10">
        <f t="shared" ca="1" si="0"/>
        <v>0.3297579731062863</v>
      </c>
      <c r="Q21" s="3"/>
    </row>
    <row r="22" spans="1:17" x14ac:dyDescent="0.25">
      <c r="O22" s="9">
        <v>21</v>
      </c>
      <c r="P22" s="10">
        <f t="shared" ca="1" si="0"/>
        <v>0.5879691349272107</v>
      </c>
      <c r="Q22" s="3"/>
    </row>
    <row r="23" spans="1:17" x14ac:dyDescent="0.25">
      <c r="O23" s="9">
        <v>22</v>
      </c>
      <c r="P23" s="10">
        <f t="shared" ca="1" si="0"/>
        <v>0.5566558340926675</v>
      </c>
      <c r="Q23" s="3"/>
    </row>
    <row r="24" spans="1:17" x14ac:dyDescent="0.25">
      <c r="O24" s="9">
        <v>23</v>
      </c>
      <c r="P24" s="10">
        <f t="shared" ca="1" si="0"/>
        <v>0.38569054777035516</v>
      </c>
      <c r="Q24" s="3"/>
    </row>
    <row r="25" spans="1:17" x14ac:dyDescent="0.25">
      <c r="O25" s="9">
        <v>24</v>
      </c>
      <c r="P25" s="10">
        <f t="shared" ca="1" si="0"/>
        <v>0.40926348368364818</v>
      </c>
      <c r="Q25" s="3"/>
    </row>
    <row r="26" spans="1:17" x14ac:dyDescent="0.25">
      <c r="O26" s="9">
        <v>25</v>
      </c>
      <c r="P26" s="10">
        <f t="shared" ca="1" si="0"/>
        <v>0.79567899155233501</v>
      </c>
      <c r="Q26" s="3"/>
    </row>
    <row r="27" spans="1:17" x14ac:dyDescent="0.25">
      <c r="O27" s="9">
        <v>26</v>
      </c>
      <c r="P27" s="10">
        <f t="shared" ca="1" si="0"/>
        <v>0.23161209476045741</v>
      </c>
      <c r="Q27" s="3"/>
    </row>
    <row r="28" spans="1:17" x14ac:dyDescent="0.25">
      <c r="O28" s="9">
        <v>27</v>
      </c>
      <c r="P28" s="10">
        <f t="shared" ca="1" si="0"/>
        <v>0.11773798065351659</v>
      </c>
      <c r="Q28" s="3"/>
    </row>
    <row r="29" spans="1:17" x14ac:dyDescent="0.25">
      <c r="O29" s="9">
        <v>28</v>
      </c>
      <c r="P29" s="10">
        <f t="shared" ca="1" si="0"/>
        <v>0.14837121113451968</v>
      </c>
      <c r="Q29" s="3"/>
    </row>
    <row r="30" spans="1:17" x14ac:dyDescent="0.25">
      <c r="O30" s="9">
        <v>29</v>
      </c>
      <c r="P30" s="10">
        <f t="shared" ca="1" si="0"/>
        <v>0.62569286397643875</v>
      </c>
      <c r="Q30" s="3"/>
    </row>
    <row r="31" spans="1:17" x14ac:dyDescent="0.25">
      <c r="O31" s="9">
        <v>30</v>
      </c>
      <c r="P31" s="10">
        <f t="shared" ca="1" si="0"/>
        <v>0.72363255489525691</v>
      </c>
      <c r="Q31" s="3"/>
    </row>
    <row r="32" spans="1:17" x14ac:dyDescent="0.25">
      <c r="O32" s="9">
        <v>31</v>
      </c>
      <c r="P32" s="10">
        <f t="shared" ca="1" si="0"/>
        <v>0.38786920795047897</v>
      </c>
      <c r="Q32" s="3"/>
    </row>
    <row r="33" spans="15:17" x14ac:dyDescent="0.25">
      <c r="O33" s="9">
        <v>32</v>
      </c>
      <c r="P33" s="10">
        <f t="shared" ca="1" si="0"/>
        <v>0.38294300417603055</v>
      </c>
      <c r="Q33" s="3"/>
    </row>
    <row r="34" spans="15:17" x14ac:dyDescent="0.25">
      <c r="O34" s="9">
        <v>33</v>
      </c>
      <c r="P34" s="10">
        <f t="shared" ca="1" si="0"/>
        <v>0.56405393047671792</v>
      </c>
      <c r="Q34" s="3"/>
    </row>
    <row r="35" spans="15:17" x14ac:dyDescent="0.25">
      <c r="O35" s="9">
        <v>34</v>
      </c>
      <c r="P35" s="10">
        <f t="shared" ca="1" si="0"/>
        <v>0.78048645252643878</v>
      </c>
      <c r="Q35" s="3"/>
    </row>
    <row r="36" spans="15:17" x14ac:dyDescent="0.25">
      <c r="O36" s="9">
        <v>35</v>
      </c>
      <c r="P36" s="10">
        <f t="shared" ca="1" si="0"/>
        <v>0.63674309938547891</v>
      </c>
      <c r="Q36" s="3"/>
    </row>
    <row r="37" spans="15:17" x14ac:dyDescent="0.25">
      <c r="O37" s="9">
        <v>36</v>
      </c>
      <c r="P37" s="10">
        <f t="shared" ca="1" si="0"/>
        <v>0.78837927105988947</v>
      </c>
      <c r="Q37" s="3"/>
    </row>
    <row r="38" spans="15:17" x14ac:dyDescent="0.25">
      <c r="O38" s="9">
        <v>37</v>
      </c>
      <c r="P38" s="10">
        <f t="shared" ca="1" si="0"/>
        <v>0.24779102364948757</v>
      </c>
      <c r="Q38" s="3"/>
    </row>
    <row r="39" spans="15:17" x14ac:dyDescent="0.25">
      <c r="O39" s="9">
        <v>38</v>
      </c>
      <c r="P39" s="10">
        <f t="shared" ca="1" si="0"/>
        <v>0.52005130702825475</v>
      </c>
      <c r="Q39" s="3"/>
    </row>
    <row r="40" spans="15:17" x14ac:dyDescent="0.25">
      <c r="O40" s="9">
        <v>39</v>
      </c>
      <c r="P40" s="10">
        <f t="shared" ca="1" si="0"/>
        <v>0.90755530205828083</v>
      </c>
      <c r="Q40" s="3"/>
    </row>
    <row r="41" spans="15:17" x14ac:dyDescent="0.25">
      <c r="O41" s="9">
        <v>40</v>
      </c>
      <c r="P41" s="10">
        <f t="shared" ca="1" si="0"/>
        <v>0.92239423423285094</v>
      </c>
      <c r="Q41" s="3"/>
    </row>
    <row r="42" spans="15:17" x14ac:dyDescent="0.25">
      <c r="O42" s="9">
        <v>41</v>
      </c>
      <c r="P42" s="10">
        <f t="shared" ca="1" si="0"/>
        <v>0.31595076706058245</v>
      </c>
      <c r="Q42" s="3"/>
    </row>
    <row r="43" spans="15:17" x14ac:dyDescent="0.25">
      <c r="O43" s="9">
        <v>42</v>
      </c>
      <c r="P43" s="10">
        <f t="shared" ca="1" si="0"/>
        <v>0.84445366256772914</v>
      </c>
      <c r="Q43" s="3"/>
    </row>
    <row r="44" spans="15:17" x14ac:dyDescent="0.25">
      <c r="O44" s="9">
        <v>43</v>
      </c>
      <c r="P44" s="10">
        <f t="shared" ca="1" si="0"/>
        <v>6.3383022426892643E-2</v>
      </c>
      <c r="Q44" s="3"/>
    </row>
    <row r="45" spans="15:17" x14ac:dyDescent="0.25">
      <c r="O45" s="9">
        <v>44</v>
      </c>
      <c r="P45" s="10">
        <f t="shared" ca="1" si="0"/>
        <v>5.5885085275844459E-2</v>
      </c>
      <c r="Q45" s="3"/>
    </row>
    <row r="46" spans="15:17" x14ac:dyDescent="0.25">
      <c r="O46" s="9">
        <v>45</v>
      </c>
      <c r="P46" s="10">
        <f t="shared" ca="1" si="0"/>
        <v>0.38463973091391068</v>
      </c>
      <c r="Q46" s="3"/>
    </row>
    <row r="47" spans="15:17" x14ac:dyDescent="0.25">
      <c r="O47" s="9">
        <v>46</v>
      </c>
      <c r="P47" s="10">
        <f t="shared" ca="1" si="0"/>
        <v>0.72220357057971474</v>
      </c>
      <c r="Q47" s="3"/>
    </row>
    <row r="48" spans="15:17" x14ac:dyDescent="0.25">
      <c r="O48" s="9">
        <v>47</v>
      </c>
      <c r="P48" s="10">
        <f t="shared" ca="1" si="0"/>
        <v>0.22968032352293455</v>
      </c>
      <c r="Q48" s="3"/>
    </row>
    <row r="49" spans="15:17" x14ac:dyDescent="0.25">
      <c r="O49" s="9">
        <v>48</v>
      </c>
      <c r="P49" s="10">
        <f t="shared" ca="1" si="0"/>
        <v>3.6451327450945592E-2</v>
      </c>
      <c r="Q49" s="3"/>
    </row>
    <row r="50" spans="15:17" x14ac:dyDescent="0.25">
      <c r="O50" s="9">
        <v>49</v>
      </c>
      <c r="P50" s="10">
        <f t="shared" ca="1" si="0"/>
        <v>0.84131702100336281</v>
      </c>
      <c r="Q50" s="3"/>
    </row>
    <row r="51" spans="15:17" x14ac:dyDescent="0.25">
      <c r="O51" s="9">
        <v>50</v>
      </c>
      <c r="P51" s="10">
        <f t="shared" ca="1" si="0"/>
        <v>0.49060518117719587</v>
      </c>
      <c r="Q51" s="3"/>
    </row>
    <row r="52" spans="15:17" x14ac:dyDescent="0.25">
      <c r="O52" s="9">
        <v>51</v>
      </c>
      <c r="P52" s="10">
        <f t="shared" ca="1" si="0"/>
        <v>6.0164684003361169E-2</v>
      </c>
      <c r="Q52" s="3"/>
    </row>
    <row r="53" spans="15:17" x14ac:dyDescent="0.25">
      <c r="O53" s="9">
        <v>52</v>
      </c>
      <c r="P53" s="10">
        <f t="shared" ca="1" si="0"/>
        <v>0.99377196394130152</v>
      </c>
      <c r="Q53" s="3"/>
    </row>
    <row r="54" spans="15:17" x14ac:dyDescent="0.25">
      <c r="O54" s="9">
        <v>53</v>
      </c>
      <c r="P54" s="10">
        <f t="shared" ca="1" si="0"/>
        <v>0.92659776699934004</v>
      </c>
      <c r="Q54" s="3"/>
    </row>
    <row r="55" spans="15:17" x14ac:dyDescent="0.25">
      <c r="O55" s="9">
        <v>54</v>
      </c>
      <c r="P55" s="10">
        <f t="shared" ca="1" si="0"/>
        <v>0.73901668424978229</v>
      </c>
      <c r="Q55" s="3"/>
    </row>
    <row r="56" spans="15:17" x14ac:dyDescent="0.25">
      <c r="O56" s="9">
        <v>55</v>
      </c>
      <c r="P56" s="10">
        <f t="shared" ca="1" si="0"/>
        <v>0.87328289852313634</v>
      </c>
      <c r="Q56" s="3"/>
    </row>
    <row r="57" spans="15:17" x14ac:dyDescent="0.25">
      <c r="O57" s="9">
        <v>56</v>
      </c>
      <c r="P57" s="10">
        <f t="shared" ca="1" si="0"/>
        <v>0.23844940750051824</v>
      </c>
      <c r="Q57" s="3"/>
    </row>
    <row r="58" spans="15:17" x14ac:dyDescent="0.25">
      <c r="O58" s="9">
        <v>57</v>
      </c>
      <c r="P58" s="10">
        <f t="shared" ca="1" si="0"/>
        <v>0.76790538134161657</v>
      </c>
      <c r="Q58" s="3"/>
    </row>
    <row r="59" spans="15:17" x14ac:dyDescent="0.25">
      <c r="O59" s="9">
        <v>58</v>
      </c>
      <c r="P59" s="10">
        <f t="shared" ca="1" si="0"/>
        <v>0.23691923315281516</v>
      </c>
      <c r="Q59" s="3"/>
    </row>
    <row r="60" spans="15:17" x14ac:dyDescent="0.25">
      <c r="O60" s="9">
        <v>59</v>
      </c>
      <c r="P60" s="10">
        <f t="shared" ca="1" si="0"/>
        <v>0.54269547048658173</v>
      </c>
      <c r="Q60" s="3"/>
    </row>
    <row r="61" spans="15:17" x14ac:dyDescent="0.25">
      <c r="O61" s="9">
        <v>60</v>
      </c>
      <c r="P61" s="10">
        <f t="shared" ca="1" si="0"/>
        <v>0.48007519691590139</v>
      </c>
      <c r="Q61" s="3"/>
    </row>
    <row r="62" spans="15:17" x14ac:dyDescent="0.25">
      <c r="O62" s="9">
        <v>61</v>
      </c>
      <c r="P62" s="10">
        <f t="shared" ca="1" si="0"/>
        <v>0.32457728208764658</v>
      </c>
      <c r="Q62" s="3"/>
    </row>
    <row r="63" spans="15:17" x14ac:dyDescent="0.25">
      <c r="O63" s="9">
        <v>62</v>
      </c>
      <c r="P63" s="10">
        <f t="shared" ca="1" si="0"/>
        <v>0.90187708936199851</v>
      </c>
      <c r="Q63" s="3"/>
    </row>
    <row r="64" spans="15:17" x14ac:dyDescent="0.25">
      <c r="O64" s="9">
        <v>63</v>
      </c>
      <c r="P64" s="10">
        <f t="shared" ca="1" si="0"/>
        <v>0.56647733235553921</v>
      </c>
      <c r="Q64" s="3"/>
    </row>
    <row r="65" spans="15:17" x14ac:dyDescent="0.25">
      <c r="O65" s="9">
        <v>64</v>
      </c>
      <c r="P65" s="10">
        <f t="shared" ca="1" si="0"/>
        <v>2.9385855908576897E-2</v>
      </c>
      <c r="Q65" s="3"/>
    </row>
    <row r="66" spans="15:17" x14ac:dyDescent="0.25">
      <c r="O66" s="9">
        <v>65</v>
      </c>
      <c r="P66" s="10">
        <f t="shared" ca="1" si="0"/>
        <v>0.87391718694092679</v>
      </c>
      <c r="Q66" s="3"/>
    </row>
    <row r="67" spans="15:17" x14ac:dyDescent="0.25">
      <c r="O67" s="9">
        <v>66</v>
      </c>
      <c r="P67" s="10">
        <f t="shared" ref="P67:P101" ca="1" si="1">RAND()</f>
        <v>0.59369483890409247</v>
      </c>
      <c r="Q67" s="3"/>
    </row>
    <row r="68" spans="15:17" x14ac:dyDescent="0.25">
      <c r="O68" s="9">
        <v>67</v>
      </c>
      <c r="P68" s="10">
        <f t="shared" ca="1" si="1"/>
        <v>0.52326997743633974</v>
      </c>
      <c r="Q68" s="3"/>
    </row>
    <row r="69" spans="15:17" x14ac:dyDescent="0.25">
      <c r="O69" s="9">
        <v>68</v>
      </c>
      <c r="P69" s="10">
        <f t="shared" ca="1" si="1"/>
        <v>0.92174195374049361</v>
      </c>
      <c r="Q69" s="3"/>
    </row>
    <row r="70" spans="15:17" x14ac:dyDescent="0.25">
      <c r="O70" s="9">
        <v>69</v>
      </c>
      <c r="P70" s="10">
        <f t="shared" ca="1" si="1"/>
        <v>0.2280406299436204</v>
      </c>
      <c r="Q70" s="3"/>
    </row>
    <row r="71" spans="15:17" x14ac:dyDescent="0.25">
      <c r="O71" s="9">
        <v>70</v>
      </c>
      <c r="P71" s="10">
        <f t="shared" ca="1" si="1"/>
        <v>0.3095817985133329</v>
      </c>
      <c r="Q71" s="3"/>
    </row>
    <row r="72" spans="15:17" x14ac:dyDescent="0.25">
      <c r="O72" s="9">
        <v>71</v>
      </c>
      <c r="P72" s="10">
        <f t="shared" ca="1" si="1"/>
        <v>0.21209749265108746</v>
      </c>
      <c r="Q72" s="3"/>
    </row>
    <row r="73" spans="15:17" x14ac:dyDescent="0.25">
      <c r="O73" s="9">
        <v>72</v>
      </c>
      <c r="P73" s="10">
        <f t="shared" ca="1" si="1"/>
        <v>7.3949821973325891E-3</v>
      </c>
      <c r="Q73" s="3"/>
    </row>
    <row r="74" spans="15:17" x14ac:dyDescent="0.25">
      <c r="O74" s="9">
        <v>73</v>
      </c>
      <c r="P74" s="10">
        <f t="shared" ca="1" si="1"/>
        <v>0.54625321726840126</v>
      </c>
      <c r="Q74" s="3"/>
    </row>
    <row r="75" spans="15:17" x14ac:dyDescent="0.25">
      <c r="O75" s="9">
        <v>74</v>
      </c>
      <c r="P75" s="10">
        <f t="shared" ca="1" si="1"/>
        <v>0.49766129876586407</v>
      </c>
      <c r="Q75" s="3"/>
    </row>
    <row r="76" spans="15:17" x14ac:dyDescent="0.25">
      <c r="O76" s="9">
        <v>75</v>
      </c>
      <c r="P76" s="10">
        <f t="shared" ca="1" si="1"/>
        <v>0.17086251423585197</v>
      </c>
      <c r="Q76" s="3"/>
    </row>
    <row r="77" spans="15:17" x14ac:dyDescent="0.25">
      <c r="O77" s="9">
        <v>76</v>
      </c>
      <c r="P77" s="10">
        <f t="shared" ca="1" si="1"/>
        <v>0.82842703905459436</v>
      </c>
      <c r="Q77" s="3"/>
    </row>
    <row r="78" spans="15:17" x14ac:dyDescent="0.25">
      <c r="O78" s="9">
        <v>77</v>
      </c>
      <c r="P78" s="10">
        <f t="shared" ca="1" si="1"/>
        <v>0.19015496932150044</v>
      </c>
      <c r="Q78" s="3"/>
    </row>
    <row r="79" spans="15:17" x14ac:dyDescent="0.25">
      <c r="O79" s="9">
        <v>78</v>
      </c>
      <c r="P79" s="10">
        <f t="shared" ca="1" si="1"/>
        <v>0.38689546930228724</v>
      </c>
      <c r="Q79" s="3"/>
    </row>
    <row r="80" spans="15:17" x14ac:dyDescent="0.25">
      <c r="O80" s="9">
        <v>79</v>
      </c>
      <c r="P80" s="10">
        <f t="shared" ca="1" si="1"/>
        <v>9.8087101528755105E-2</v>
      </c>
      <c r="Q80" s="3"/>
    </row>
    <row r="81" spans="15:17" x14ac:dyDescent="0.25">
      <c r="O81" s="9">
        <v>80</v>
      </c>
      <c r="P81" s="10">
        <f t="shared" ca="1" si="1"/>
        <v>0.93681041293312306</v>
      </c>
      <c r="Q81" s="3"/>
    </row>
    <row r="82" spans="15:17" x14ac:dyDescent="0.25">
      <c r="O82" s="9">
        <v>81</v>
      </c>
      <c r="P82" s="10">
        <f t="shared" ca="1" si="1"/>
        <v>7.9649533039927167E-4</v>
      </c>
      <c r="Q82" s="3"/>
    </row>
    <row r="83" spans="15:17" x14ac:dyDescent="0.25">
      <c r="O83" s="9">
        <v>82</v>
      </c>
      <c r="P83" s="10">
        <f t="shared" ca="1" si="1"/>
        <v>0.7662873584722657</v>
      </c>
      <c r="Q83" s="3"/>
    </row>
    <row r="84" spans="15:17" x14ac:dyDescent="0.25">
      <c r="O84" s="9">
        <v>83</v>
      </c>
      <c r="P84" s="10">
        <f t="shared" ca="1" si="1"/>
        <v>0.67509364456206822</v>
      </c>
      <c r="Q84" s="3"/>
    </row>
    <row r="85" spans="15:17" x14ac:dyDescent="0.25">
      <c r="O85" s="9">
        <v>84</v>
      </c>
      <c r="P85" s="10">
        <f t="shared" ca="1" si="1"/>
        <v>2.7612150896389576E-2</v>
      </c>
      <c r="Q85" s="3"/>
    </row>
    <row r="86" spans="15:17" x14ac:dyDescent="0.25">
      <c r="O86" s="9">
        <v>85</v>
      </c>
      <c r="P86" s="10">
        <f t="shared" ca="1" si="1"/>
        <v>0.20671104338011836</v>
      </c>
      <c r="Q86" s="3"/>
    </row>
    <row r="87" spans="15:17" x14ac:dyDescent="0.25">
      <c r="O87" s="9">
        <v>86</v>
      </c>
      <c r="P87" s="10">
        <f t="shared" ca="1" si="1"/>
        <v>0.89856206339265321</v>
      </c>
      <c r="Q87" s="3"/>
    </row>
    <row r="88" spans="15:17" x14ac:dyDescent="0.25">
      <c r="O88" s="9">
        <v>87</v>
      </c>
      <c r="P88" s="10">
        <f t="shared" ca="1" si="1"/>
        <v>0.28827321707020115</v>
      </c>
      <c r="Q88" s="3"/>
    </row>
    <row r="89" spans="15:17" x14ac:dyDescent="0.25">
      <c r="O89" s="9">
        <v>88</v>
      </c>
      <c r="P89" s="10">
        <f t="shared" ca="1" si="1"/>
        <v>0.93900165435984606</v>
      </c>
      <c r="Q89" s="3"/>
    </row>
    <row r="90" spans="15:17" x14ac:dyDescent="0.25">
      <c r="O90" s="9">
        <v>89</v>
      </c>
      <c r="P90" s="10">
        <f t="shared" ca="1" si="1"/>
        <v>0.2996931251013909</v>
      </c>
      <c r="Q90" s="3"/>
    </row>
    <row r="91" spans="15:17" x14ac:dyDescent="0.25">
      <c r="O91" s="9">
        <v>90</v>
      </c>
      <c r="P91" s="10">
        <f t="shared" ca="1" si="1"/>
        <v>0.20476859103991929</v>
      </c>
      <c r="Q91" s="3"/>
    </row>
    <row r="92" spans="15:17" x14ac:dyDescent="0.25">
      <c r="O92" s="9">
        <v>91</v>
      </c>
      <c r="P92" s="10">
        <f t="shared" ca="1" si="1"/>
        <v>7.4313377767288857E-3</v>
      </c>
      <c r="Q92" s="3"/>
    </row>
    <row r="93" spans="15:17" x14ac:dyDescent="0.25">
      <c r="O93" s="9">
        <v>92</v>
      </c>
      <c r="P93" s="10">
        <f t="shared" ca="1" si="1"/>
        <v>0.96478870200633282</v>
      </c>
      <c r="Q93" s="3"/>
    </row>
    <row r="94" spans="15:17" x14ac:dyDescent="0.25">
      <c r="O94" s="9">
        <v>93</v>
      </c>
      <c r="P94" s="10">
        <f t="shared" ca="1" si="1"/>
        <v>0.21331076783748393</v>
      </c>
      <c r="Q94" s="3"/>
    </row>
    <row r="95" spans="15:17" x14ac:dyDescent="0.25">
      <c r="O95" s="9">
        <v>94</v>
      </c>
      <c r="P95" s="10">
        <f t="shared" ca="1" si="1"/>
        <v>0.54486889621017698</v>
      </c>
      <c r="Q95" s="3"/>
    </row>
    <row r="96" spans="15:17" x14ac:dyDescent="0.25">
      <c r="O96" s="9">
        <v>95</v>
      </c>
      <c r="P96" s="10">
        <f t="shared" ca="1" si="1"/>
        <v>0.42585582522613774</v>
      </c>
      <c r="Q96" s="3"/>
    </row>
    <row r="97" spans="15:17" x14ac:dyDescent="0.25">
      <c r="O97" s="9">
        <v>96</v>
      </c>
      <c r="P97" s="10">
        <f t="shared" ca="1" si="1"/>
        <v>0.85028991793631148</v>
      </c>
      <c r="Q97" s="3"/>
    </row>
    <row r="98" spans="15:17" x14ac:dyDescent="0.25">
      <c r="O98" s="9">
        <v>97</v>
      </c>
      <c r="P98" s="10">
        <f t="shared" ca="1" si="1"/>
        <v>0.83690051035821822</v>
      </c>
      <c r="Q98" s="3"/>
    </row>
    <row r="99" spans="15:17" x14ac:dyDescent="0.25">
      <c r="O99" s="9">
        <v>98</v>
      </c>
      <c r="P99" s="10">
        <f t="shared" ca="1" si="1"/>
        <v>3.6248290238763969E-3</v>
      </c>
      <c r="Q99" s="3"/>
    </row>
    <row r="100" spans="15:17" x14ac:dyDescent="0.25">
      <c r="O100" s="9">
        <v>99</v>
      </c>
      <c r="P100" s="10">
        <f t="shared" ca="1" si="1"/>
        <v>0.89380337164338219</v>
      </c>
      <c r="Q100" s="3"/>
    </row>
    <row r="101" spans="15:17" x14ac:dyDescent="0.25">
      <c r="O101" s="9">
        <v>100</v>
      </c>
      <c r="P101" s="10">
        <f t="shared" ca="1" si="1"/>
        <v>0.28868603496845957</v>
      </c>
      <c r="Q101" s="3"/>
    </row>
    <row r="102" spans="15:17" x14ac:dyDescent="0.25">
      <c r="O102" s="1"/>
    </row>
    <row r="103" spans="15:17" x14ac:dyDescent="0.25">
      <c r="O103" s="1"/>
    </row>
    <row r="104" spans="15:17" x14ac:dyDescent="0.25">
      <c r="O104" s="1"/>
    </row>
    <row r="105" spans="15:17" x14ac:dyDescent="0.25">
      <c r="O105" s="1"/>
    </row>
    <row r="106" spans="15:17" x14ac:dyDescent="0.25">
      <c r="O106" s="1"/>
    </row>
    <row r="107" spans="15:17" x14ac:dyDescent="0.25">
      <c r="O107" s="1"/>
    </row>
    <row r="108" spans="15:17" x14ac:dyDescent="0.25">
      <c r="O108" s="1"/>
    </row>
    <row r="109" spans="15:17" x14ac:dyDescent="0.25">
      <c r="O109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"/>
  <sheetViews>
    <sheetView tabSelected="1" workbookViewId="0">
      <selection activeCell="E13" sqref="E13"/>
    </sheetView>
  </sheetViews>
  <sheetFormatPr defaultRowHeight="15" x14ac:dyDescent="0.25"/>
  <sheetData>
    <row r="1" spans="1:15" x14ac:dyDescent="0.25">
      <c r="A1" s="1" t="s">
        <v>23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x14ac:dyDescent="0.25">
      <c r="A2" s="1" t="s">
        <v>24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4" spans="1:15" ht="15.75" x14ac:dyDescent="0.25">
      <c r="A4" s="2" t="s">
        <v>3</v>
      </c>
    </row>
    <row r="5" spans="1:15" x14ac:dyDescent="0.25">
      <c r="A5" s="5" t="s">
        <v>25</v>
      </c>
    </row>
    <row r="6" spans="1:15" x14ac:dyDescent="0.25">
      <c r="A6" s="5" t="s">
        <v>26</v>
      </c>
    </row>
    <row r="7" spans="1:15" x14ac:dyDescent="0.25">
      <c r="A7" s="5" t="s">
        <v>27</v>
      </c>
    </row>
    <row r="8" spans="1:15" x14ac:dyDescent="0.25">
      <c r="A8" s="5" t="s">
        <v>28</v>
      </c>
    </row>
    <row r="10" spans="1:15" x14ac:dyDescent="0.25">
      <c r="A10" s="1" t="s">
        <v>29</v>
      </c>
    </row>
    <row r="11" spans="1:15" x14ac:dyDescent="0.25">
      <c r="A11" s="11">
        <f>_xlfn.NORM.DIST(55,50,5,TRUE) - _xlfn.NORM.DIST(45,50,5,TRUE)</f>
        <v>0.68268949213708607</v>
      </c>
    </row>
    <row r="12" spans="1:15" x14ac:dyDescent="0.25">
      <c r="A12" s="12" t="s">
        <v>8</v>
      </c>
    </row>
    <row r="13" spans="1:15" x14ac:dyDescent="0.25">
      <c r="A13" t="s">
        <v>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4"/>
  <sheetViews>
    <sheetView topLeftCell="A11" workbookViewId="0">
      <selection activeCell="I30" sqref="I30"/>
    </sheetView>
  </sheetViews>
  <sheetFormatPr defaultRowHeight="15" x14ac:dyDescent="0.25"/>
  <sheetData>
    <row r="1" spans="1:16" x14ac:dyDescent="0.25">
      <c r="A1" s="1" t="s">
        <v>32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1" t="s">
        <v>31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ht="15.75" x14ac:dyDescent="0.25">
      <c r="A4" s="2" t="s">
        <v>33</v>
      </c>
    </row>
    <row r="5" spans="1:16" x14ac:dyDescent="0.25">
      <c r="A5" t="s">
        <v>34</v>
      </c>
    </row>
    <row r="6" spans="1:16" x14ac:dyDescent="0.25">
      <c r="A6" t="s">
        <v>35</v>
      </c>
    </row>
    <row r="8" spans="1:16" ht="15.75" x14ac:dyDescent="0.25">
      <c r="A8" s="2" t="s">
        <v>36</v>
      </c>
    </row>
    <row r="9" spans="1:16" x14ac:dyDescent="0.25">
      <c r="B9" s="13" t="s">
        <v>37</v>
      </c>
      <c r="C9" s="13"/>
    </row>
    <row r="11" spans="1:16" x14ac:dyDescent="0.25">
      <c r="A11" s="1" t="s">
        <v>38</v>
      </c>
    </row>
    <row r="12" spans="1:16" x14ac:dyDescent="0.25">
      <c r="A12" s="5" t="s">
        <v>39</v>
      </c>
    </row>
    <row r="13" spans="1:16" x14ac:dyDescent="0.25">
      <c r="A13" s="5" t="s">
        <v>40</v>
      </c>
    </row>
    <row r="14" spans="1:16" x14ac:dyDescent="0.25">
      <c r="A14" s="5" t="s">
        <v>41</v>
      </c>
    </row>
    <row r="16" spans="1:16" ht="15.75" x14ac:dyDescent="0.25">
      <c r="A16" s="2" t="s">
        <v>42</v>
      </c>
    </row>
    <row r="17" spans="1:2" x14ac:dyDescent="0.25">
      <c r="A17" s="5" t="s">
        <v>43</v>
      </c>
    </row>
    <row r="18" spans="1:2" x14ac:dyDescent="0.25">
      <c r="A18" s="5" t="s">
        <v>44</v>
      </c>
    </row>
    <row r="19" spans="1:2" x14ac:dyDescent="0.25">
      <c r="A19" s="14" t="s">
        <v>45</v>
      </c>
    </row>
    <row r="20" spans="1:2" x14ac:dyDescent="0.25">
      <c r="A20" s="14" t="s">
        <v>46</v>
      </c>
    </row>
    <row r="21" spans="1:2" x14ac:dyDescent="0.25">
      <c r="A21" s="14" t="s">
        <v>47</v>
      </c>
    </row>
    <row r="22" spans="1:2" x14ac:dyDescent="0.25">
      <c r="A22" s="5" t="s">
        <v>48</v>
      </c>
    </row>
    <row r="23" spans="1:2" x14ac:dyDescent="0.25">
      <c r="A23" s="1" t="s">
        <v>49</v>
      </c>
    </row>
    <row r="24" spans="1:2" x14ac:dyDescent="0.25">
      <c r="A24" t="s">
        <v>50</v>
      </c>
    </row>
    <row r="25" spans="1:2" x14ac:dyDescent="0.25">
      <c r="B25" t="s">
        <v>51</v>
      </c>
    </row>
    <row r="26" spans="1:2" x14ac:dyDescent="0.25">
      <c r="B26" s="9">
        <v>1</v>
      </c>
    </row>
    <row r="27" spans="1:2" x14ac:dyDescent="0.25">
      <c r="A27" t="s">
        <v>52</v>
      </c>
    </row>
    <row r="29" spans="1:2" ht="15.75" x14ac:dyDescent="0.25">
      <c r="A29" s="2" t="s">
        <v>53</v>
      </c>
    </row>
    <row r="30" spans="1:2" x14ac:dyDescent="0.25">
      <c r="A30" s="5" t="s">
        <v>54</v>
      </c>
    </row>
    <row r="31" spans="1:2" x14ac:dyDescent="0.25">
      <c r="A31" s="5" t="s">
        <v>55</v>
      </c>
    </row>
    <row r="32" spans="1:2" x14ac:dyDescent="0.25">
      <c r="A32" s="14" t="s">
        <v>56</v>
      </c>
    </row>
    <row r="33" spans="1:1" x14ac:dyDescent="0.25">
      <c r="A33" s="5" t="s">
        <v>57</v>
      </c>
    </row>
    <row r="34" spans="1:1" x14ac:dyDescent="0.25">
      <c r="A34" s="5" t="s">
        <v>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Views>
    <sheetView workbookViewId="0">
      <selection activeCell="I31" sqref="I31"/>
    </sheetView>
  </sheetViews>
  <sheetFormatPr defaultRowHeight="15" x14ac:dyDescent="0.25"/>
  <cols>
    <col min="2" max="2" width="18.42578125" bestFit="1" customWidth="1"/>
    <col min="3" max="5" width="11" customWidth="1"/>
  </cols>
  <sheetData>
    <row r="1" spans="1:4" x14ac:dyDescent="0.25">
      <c r="A1" s="1" t="s">
        <v>59</v>
      </c>
      <c r="B1" s="1"/>
      <c r="C1" s="1"/>
      <c r="D1" s="1"/>
    </row>
    <row r="2" spans="1:4" x14ac:dyDescent="0.25">
      <c r="A2" s="1" t="s">
        <v>60</v>
      </c>
      <c r="B2" s="1"/>
      <c r="C2" s="1"/>
      <c r="D2" s="1"/>
    </row>
    <row r="4" spans="1:4" x14ac:dyDescent="0.25">
      <c r="A4" t="s">
        <v>61</v>
      </c>
    </row>
    <row r="5" spans="1:4" x14ac:dyDescent="0.25">
      <c r="A5" t="s">
        <v>62</v>
      </c>
    </row>
    <row r="7" spans="1:4" ht="18" x14ac:dyDescent="0.25">
      <c r="A7" s="4" t="s">
        <v>63</v>
      </c>
    </row>
    <row r="8" spans="1:4" x14ac:dyDescent="0.25">
      <c r="A8" s="5"/>
    </row>
    <row r="9" spans="1:4" x14ac:dyDescent="0.25">
      <c r="A9" s="15" t="s">
        <v>64</v>
      </c>
    </row>
    <row r="10" spans="1:4" x14ac:dyDescent="0.25">
      <c r="A10" s="14" t="s">
        <v>65</v>
      </c>
    </row>
    <row r="11" spans="1:4" x14ac:dyDescent="0.25">
      <c r="A11" s="14" t="s">
        <v>66</v>
      </c>
    </row>
    <row r="12" spans="1:4" x14ac:dyDescent="0.25">
      <c r="A12" s="14" t="s">
        <v>67</v>
      </c>
    </row>
    <row r="13" spans="1:4" x14ac:dyDescent="0.25">
      <c r="A13" s="14" t="s">
        <v>68</v>
      </c>
    </row>
    <row r="14" spans="1:4" x14ac:dyDescent="0.25">
      <c r="A14" s="5"/>
    </row>
    <row r="15" spans="1:4" x14ac:dyDescent="0.25">
      <c r="A15" s="15" t="s">
        <v>69</v>
      </c>
    </row>
    <row r="16" spans="1:4" x14ac:dyDescent="0.25">
      <c r="A16" s="14" t="s">
        <v>70</v>
      </c>
    </row>
    <row r="17" spans="1:5" x14ac:dyDescent="0.25">
      <c r="A17" s="16" t="s">
        <v>71</v>
      </c>
    </row>
    <row r="18" spans="1:5" x14ac:dyDescent="0.25">
      <c r="A18" s="14" t="s">
        <v>72</v>
      </c>
    </row>
    <row r="19" spans="1:5" x14ac:dyDescent="0.25">
      <c r="A19" s="14"/>
    </row>
    <row r="20" spans="1:5" x14ac:dyDescent="0.25">
      <c r="A20" s="15" t="s">
        <v>73</v>
      </c>
    </row>
    <row r="21" spans="1:5" x14ac:dyDescent="0.25">
      <c r="A21" s="14" t="s">
        <v>74</v>
      </c>
    </row>
    <row r="22" spans="1:5" x14ac:dyDescent="0.25">
      <c r="A22" s="16" t="s">
        <v>75</v>
      </c>
    </row>
    <row r="23" spans="1:5" x14ac:dyDescent="0.25">
      <c r="A23" s="14" t="s">
        <v>76</v>
      </c>
    </row>
    <row r="25" spans="1:5" ht="18" x14ac:dyDescent="0.25">
      <c r="B25" s="4" t="s">
        <v>94</v>
      </c>
      <c r="C25" t="s">
        <v>95</v>
      </c>
      <c r="D25" t="s">
        <v>96</v>
      </c>
      <c r="E25" t="s">
        <v>97</v>
      </c>
    </row>
    <row r="26" spans="1:5" ht="18" x14ac:dyDescent="0.25">
      <c r="B26" s="4" t="s">
        <v>77</v>
      </c>
    </row>
    <row r="28" spans="1:5" ht="30" x14ac:dyDescent="0.25">
      <c r="B28" s="18" t="s">
        <v>78</v>
      </c>
      <c r="C28" s="18" t="s">
        <v>79</v>
      </c>
      <c r="D28" s="18" t="s">
        <v>80</v>
      </c>
      <c r="E28" s="18" t="s">
        <v>81</v>
      </c>
    </row>
    <row r="29" spans="1:5" ht="30" x14ac:dyDescent="0.25">
      <c r="B29" s="19" t="s">
        <v>82</v>
      </c>
      <c r="C29" s="19" t="s">
        <v>83</v>
      </c>
      <c r="D29" s="19" t="s">
        <v>84</v>
      </c>
      <c r="E29" s="19" t="s">
        <v>85</v>
      </c>
    </row>
    <row r="30" spans="1:5" ht="30" x14ac:dyDescent="0.25">
      <c r="B30" s="19" t="s">
        <v>86</v>
      </c>
      <c r="C30" s="19" t="s">
        <v>87</v>
      </c>
      <c r="D30" s="19" t="s">
        <v>88</v>
      </c>
      <c r="E30" s="19" t="s">
        <v>89</v>
      </c>
    </row>
    <row r="31" spans="1:5" x14ac:dyDescent="0.25">
      <c r="B31" s="19" t="s">
        <v>90</v>
      </c>
      <c r="C31" s="19" t="s">
        <v>91</v>
      </c>
      <c r="D31" s="19" t="s">
        <v>92</v>
      </c>
      <c r="E31" s="19" t="s">
        <v>93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Views>
    <sheetView workbookViewId="0">
      <selection activeCell="F17" sqref="F17"/>
    </sheetView>
  </sheetViews>
  <sheetFormatPr defaultRowHeight="15" x14ac:dyDescent="0.25"/>
  <sheetData>
    <row r="1" spans="1:9" x14ac:dyDescent="0.25">
      <c r="A1" s="1" t="s">
        <v>98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1" t="s">
        <v>99</v>
      </c>
      <c r="B2" s="1"/>
      <c r="C2" s="1"/>
      <c r="D2" s="1"/>
      <c r="E2" s="1"/>
      <c r="F2" s="1"/>
      <c r="G2" s="1"/>
      <c r="H2" s="1"/>
      <c r="I2" s="1"/>
    </row>
    <row r="4" spans="1:9" x14ac:dyDescent="0.25">
      <c r="A4" t="s">
        <v>100</v>
      </c>
    </row>
    <row r="5" spans="1:9" x14ac:dyDescent="0.25">
      <c r="A5" t="s">
        <v>101</v>
      </c>
    </row>
    <row r="6" spans="1:9" x14ac:dyDescent="0.25">
      <c r="A6" s="8" t="s">
        <v>102</v>
      </c>
    </row>
    <row r="7" spans="1:9" x14ac:dyDescent="0.25">
      <c r="A7" s="5" t="s">
        <v>103</v>
      </c>
    </row>
    <row r="8" spans="1:9" x14ac:dyDescent="0.25">
      <c r="A8" s="5" t="s">
        <v>104</v>
      </c>
    </row>
    <row r="9" spans="1:9" x14ac:dyDescent="0.25">
      <c r="A9" s="5" t="s">
        <v>105</v>
      </c>
    </row>
    <row r="10" spans="1:9" x14ac:dyDescent="0.25">
      <c r="A10" t="s">
        <v>106</v>
      </c>
    </row>
    <row r="12" spans="1:9" x14ac:dyDescent="0.25">
      <c r="A12" s="1" t="s">
        <v>107</v>
      </c>
    </row>
    <row r="13" spans="1:9" x14ac:dyDescent="0.25">
      <c r="B13" s="11">
        <f>1/6</f>
        <v>0.16666666666666666</v>
      </c>
    </row>
    <row r="15" spans="1:9" x14ac:dyDescent="0.25">
      <c r="A15" s="1" t="s">
        <v>108</v>
      </c>
    </row>
    <row r="16" spans="1:9" x14ac:dyDescent="0.25">
      <c r="B16" s="11">
        <f ca="1">RANDBETWEEN(1,6)</f>
        <v>2</v>
      </c>
    </row>
    <row r="17" spans="1:1" x14ac:dyDescent="0.25">
      <c r="A17" t="s">
        <v>109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"/>
  <sheetViews>
    <sheetView workbookViewId="0">
      <selection activeCell="D16" sqref="D16"/>
    </sheetView>
  </sheetViews>
  <sheetFormatPr defaultRowHeight="15" x14ac:dyDescent="0.25"/>
  <sheetData>
    <row r="1" spans="1:14" x14ac:dyDescent="0.25">
      <c r="A1" s="1" t="s">
        <v>110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1" t="s">
        <v>111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4" spans="1:14" ht="15.75" x14ac:dyDescent="0.25">
      <c r="A4" s="2" t="s">
        <v>3</v>
      </c>
    </row>
    <row r="5" spans="1:14" x14ac:dyDescent="0.25">
      <c r="A5" s="5" t="s">
        <v>112</v>
      </c>
    </row>
    <row r="6" spans="1:14" x14ac:dyDescent="0.25">
      <c r="A6" s="5" t="s">
        <v>113</v>
      </c>
    </row>
    <row r="7" spans="1:14" x14ac:dyDescent="0.25">
      <c r="A7" s="5" t="s">
        <v>114</v>
      </c>
    </row>
    <row r="9" spans="1:14" x14ac:dyDescent="0.25">
      <c r="B9" s="11">
        <f>1 - _xlfn.BINOM.DIST(7,15,0.5,TRUE)</f>
        <v>0.5</v>
      </c>
    </row>
    <row r="10" spans="1:14" ht="15.75" x14ac:dyDescent="0.3">
      <c r="A10" s="20" t="s">
        <v>115</v>
      </c>
    </row>
    <row r="11" spans="1:14" x14ac:dyDescent="0.25">
      <c r="A11" t="s">
        <v>116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9"/>
  <sheetViews>
    <sheetView workbookViewId="0">
      <selection activeCell="H23" sqref="H23"/>
    </sheetView>
  </sheetViews>
  <sheetFormatPr defaultRowHeight="15" x14ac:dyDescent="0.25"/>
  <cols>
    <col min="6" max="6" width="17.7109375" customWidth="1"/>
    <col min="7" max="7" width="25.28515625" customWidth="1"/>
  </cols>
  <sheetData>
    <row r="1" spans="1:11" x14ac:dyDescent="0.25">
      <c r="A1" s="1" t="s">
        <v>117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25">
      <c r="A2" s="1" t="s">
        <v>118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x14ac:dyDescent="0.25">
      <c r="A4" t="s">
        <v>119</v>
      </c>
    </row>
    <row r="5" spans="1:11" x14ac:dyDescent="0.25">
      <c r="A5" t="s">
        <v>120</v>
      </c>
    </row>
    <row r="7" spans="1:11" ht="60" x14ac:dyDescent="0.25">
      <c r="A7" t="s">
        <v>121</v>
      </c>
      <c r="F7" s="18" t="s">
        <v>123</v>
      </c>
      <c r="G7" s="18" t="s">
        <v>124</v>
      </c>
    </row>
    <row r="8" spans="1:11" ht="15.75" x14ac:dyDescent="0.25">
      <c r="A8" s="15" t="s">
        <v>122</v>
      </c>
      <c r="F8" s="17">
        <v>10</v>
      </c>
      <c r="G8" s="21" t="s">
        <v>125</v>
      </c>
    </row>
    <row r="9" spans="1:11" ht="15.75" x14ac:dyDescent="0.25">
      <c r="B9" s="11">
        <f>LN(F8)</f>
        <v>2.3025850929940459</v>
      </c>
      <c r="F9" s="17" t="s">
        <v>126</v>
      </c>
      <c r="G9" s="21" t="s">
        <v>127</v>
      </c>
    </row>
    <row r="10" spans="1:11" ht="15.75" x14ac:dyDescent="0.25">
      <c r="F10" s="17" t="s">
        <v>128</v>
      </c>
      <c r="G10" s="21" t="s">
        <v>129</v>
      </c>
    </row>
    <row r="11" spans="1:11" ht="15.75" x14ac:dyDescent="0.25">
      <c r="F11" s="17" t="s">
        <v>130</v>
      </c>
      <c r="G11" s="21" t="s">
        <v>131</v>
      </c>
    </row>
    <row r="12" spans="1:11" ht="15.75" x14ac:dyDescent="0.25">
      <c r="F12" s="17" t="s">
        <v>132</v>
      </c>
      <c r="G12" s="21" t="s">
        <v>133</v>
      </c>
    </row>
    <row r="14" spans="1:11" x14ac:dyDescent="0.25">
      <c r="A14" s="1" t="s">
        <v>134</v>
      </c>
    </row>
    <row r="15" spans="1:11" x14ac:dyDescent="0.25">
      <c r="B15" s="11">
        <f>LOG10(F8)</f>
        <v>1</v>
      </c>
    </row>
    <row r="17" spans="1:1" ht="18" x14ac:dyDescent="0.25">
      <c r="A17" s="4" t="s">
        <v>135</v>
      </c>
    </row>
    <row r="18" spans="1:1" x14ac:dyDescent="0.25">
      <c r="A18" s="15" t="s">
        <v>136</v>
      </c>
    </row>
    <row r="19" spans="1:1" x14ac:dyDescent="0.25">
      <c r="A19" s="14" t="s">
        <v>137</v>
      </c>
    </row>
    <row r="20" spans="1:1" x14ac:dyDescent="0.25">
      <c r="A20" s="14" t="s">
        <v>138</v>
      </c>
    </row>
    <row r="21" spans="1:1" x14ac:dyDescent="0.25">
      <c r="A21" s="14" t="s">
        <v>139</v>
      </c>
    </row>
    <row r="22" spans="1:1" x14ac:dyDescent="0.25">
      <c r="A22" s="5"/>
    </row>
    <row r="23" spans="1:1" x14ac:dyDescent="0.25">
      <c r="A23" s="15" t="s">
        <v>140</v>
      </c>
    </row>
    <row r="24" spans="1:1" x14ac:dyDescent="0.25">
      <c r="A24" s="14" t="s">
        <v>141</v>
      </c>
    </row>
    <row r="25" spans="1:1" x14ac:dyDescent="0.25">
      <c r="A25" s="14" t="s">
        <v>142</v>
      </c>
    </row>
    <row r="26" spans="1:1" x14ac:dyDescent="0.25">
      <c r="A26" s="5"/>
    </row>
    <row r="27" spans="1:1" x14ac:dyDescent="0.25">
      <c r="A27" s="15" t="s">
        <v>143</v>
      </c>
    </row>
    <row r="28" spans="1:1" x14ac:dyDescent="0.25">
      <c r="A28" s="14" t="s">
        <v>144</v>
      </c>
    </row>
    <row r="29" spans="1:1" x14ac:dyDescent="0.25">
      <c r="A29" s="14" t="s">
        <v>145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Answer 1</vt:lpstr>
      <vt:lpstr>Answer 2</vt:lpstr>
      <vt:lpstr>Answer 3</vt:lpstr>
      <vt:lpstr>Answer 4</vt:lpstr>
      <vt:lpstr>Answer 5</vt:lpstr>
      <vt:lpstr>Answer 6</vt:lpstr>
      <vt:lpstr>Answer 7</vt:lpstr>
      <vt:lpstr>Answer 8</vt:lpstr>
    </vt:vector>
  </TitlesOfParts>
  <Company>PricewaterhouseCoopers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</dc:creator>
  <cp:lastModifiedBy>SONY</cp:lastModifiedBy>
  <dcterms:created xsi:type="dcterms:W3CDTF">2026-01-07T15:37:57Z</dcterms:created>
  <dcterms:modified xsi:type="dcterms:W3CDTF">2026-01-07T16:42:09Z</dcterms:modified>
</cp:coreProperties>
</file>