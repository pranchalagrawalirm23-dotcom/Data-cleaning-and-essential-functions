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esktop\"/>
    </mc:Choice>
  </mc:AlternateContent>
  <bookViews>
    <workbookView xWindow="0" yWindow="0" windowWidth="15345" windowHeight="4635" activeTab="5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8" l="1"/>
  <c r="D7" i="7"/>
  <c r="E8" i="6"/>
  <c r="E9" i="6"/>
  <c r="E7" i="6"/>
  <c r="J6" i="5"/>
  <c r="F6" i="5"/>
  <c r="E7" i="4"/>
  <c r="D9" i="3"/>
  <c r="D10" i="3"/>
  <c r="D11" i="3"/>
  <c r="D12" i="3"/>
  <c r="D8" i="3"/>
  <c r="E8" i="2"/>
  <c r="E9" i="2"/>
  <c r="E10" i="2"/>
  <c r="E7" i="2"/>
  <c r="E6" i="1"/>
</calcChain>
</file>

<file path=xl/sharedStrings.xml><?xml version="1.0" encoding="utf-8"?>
<sst xmlns="http://schemas.openxmlformats.org/spreadsheetml/2006/main" count="124" uniqueCount="92">
  <si>
    <t>Q1</t>
  </si>
  <si>
    <t>Write a formula to check if the marks in cell B2 are greater than or equal to 40. If yes, return "Pass", otherwise "Fail"</t>
  </si>
  <si>
    <t>Student Name</t>
  </si>
  <si>
    <t>Riya</t>
  </si>
  <si>
    <t>Siya</t>
  </si>
  <si>
    <t>Raju</t>
  </si>
  <si>
    <t>Rahul</t>
  </si>
  <si>
    <t>Ram</t>
  </si>
  <si>
    <t>Marks</t>
  </si>
  <si>
    <t>Column1</t>
  </si>
  <si>
    <t>Column2</t>
  </si>
  <si>
    <t>Here we imagine Valure of B2 cell is 45 (According to our sheet)</t>
  </si>
  <si>
    <t>Q2</t>
  </si>
  <si>
    <t>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</si>
  <si>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</si>
  <si>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</si>
  <si>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</si>
  <si>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</si>
  <si>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</si>
  <si>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</si>
  <si>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</si>
  <si>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Column3</t>
  </si>
  <si>
    <t>Q3</t>
  </si>
  <si>
    <t>Write a nested IF formula:</t>
  </si>
  <si>
    <t>If marks in B2 are ≥ 90 → "A", ≥ 75 →"B" , ≥ 50 →"C" , otherwise "Fail".</t>
  </si>
  <si>
    <t>Neha</t>
  </si>
  <si>
    <t>Vivek</t>
  </si>
  <si>
    <t>Rani</t>
  </si>
  <si>
    <t>Sneha</t>
  </si>
  <si>
    <t>Raj</t>
  </si>
  <si>
    <t>Find the Department of Employee ID = E103. Also explain which LOOKUP function is used and why?</t>
  </si>
  <si>
    <t>Q4</t>
  </si>
  <si>
    <t>Formula :-</t>
  </si>
  <si>
    <t>Formula:-</t>
  </si>
  <si>
    <t>Here we imagine Valure of B2 cell is 85 (According to our sheet)</t>
  </si>
  <si>
    <t>Emp ID</t>
  </si>
  <si>
    <t>Name</t>
  </si>
  <si>
    <t>Department</t>
  </si>
  <si>
    <t>E101</t>
  </si>
  <si>
    <t>E102</t>
  </si>
  <si>
    <t>E103</t>
  </si>
  <si>
    <t>E104</t>
  </si>
  <si>
    <t>Sejal</t>
  </si>
  <si>
    <t>Roshni</t>
  </si>
  <si>
    <t>IT</t>
  </si>
  <si>
    <t>HR</t>
  </si>
  <si>
    <t>Finance</t>
  </si>
  <si>
    <t>VLOOKUP is used because the EmployeeID is searched vertically in the first coloumn and the Department is fetched from another coloumn.</t>
  </si>
  <si>
    <t>Q5</t>
  </si>
  <si>
    <t>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</si>
  <si>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</si>
  <si>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</si>
  <si>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</si>
  <si>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Given:-</t>
  </si>
  <si>
    <t>Sales achieved= 45,000</t>
  </si>
  <si>
    <t>Assumption:-</t>
  </si>
  <si>
    <t>Sales slab table in A7:B10</t>
  </si>
  <si>
    <t>Sales Amount in H4</t>
  </si>
  <si>
    <t>Commission Amount</t>
  </si>
  <si>
    <t>Q6</t>
  </si>
  <si>
    <t>The HR department maintains the following leave records of employees:onus or not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</si>
  <si>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</si>
  <si>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</si>
  <si>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</si>
  <si>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</si>
  <si>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</si>
  <si>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</si>
  <si>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</si>
  <si>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</si>
  <si>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 display "OK".</t>
  </si>
  <si>
    <t>Q8</t>
  </si>
  <si>
    <t>Q7</t>
  </si>
  <si>
    <t>Find the salary of EmpID = E105 using INDEX-MATCH Function.</t>
  </si>
  <si>
    <t>EmployeeID</t>
  </si>
  <si>
    <t>Salary</t>
  </si>
  <si>
    <t>CONDITION:-</t>
  </si>
  <si>
    <t>If leaves taken&gt;Leaves Allowed-&gt; display "Exceeded"</t>
  </si>
  <si>
    <t>Otherwise display "OK"</t>
  </si>
  <si>
    <t>FORMULA:-</t>
  </si>
  <si>
    <t>Leaves Allowed:- Column C</t>
  </si>
  <si>
    <t>Employee Name:- Column A</t>
  </si>
  <si>
    <t>Leaves Taken:- Column B</t>
  </si>
  <si>
    <t>Result:- Column E</t>
  </si>
  <si>
    <t>Use the XLOOKUP function to find the Department of the employee with Emp ID = E303.</t>
  </si>
  <si>
    <t>E303</t>
  </si>
  <si>
    <t>E106</t>
  </si>
  <si>
    <t>E301</t>
  </si>
  <si>
    <t>Salary:- ColumnB(B7:B10)</t>
  </si>
  <si>
    <t>EmployID:- Column A(A7:A10)</t>
  </si>
  <si>
    <t>E105</t>
  </si>
  <si>
    <t>EmpID:- Column A(A7:A10)</t>
  </si>
  <si>
    <t>Department:- Column B(B7:B10)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</si>
</sst>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1" fillId="3" borderId="0" xfId="0" applyFont="1" applyFill="1"/>
    <xf numFmtId="3" fontId="0" fillId="0" borderId="0" xfId="0" applyNumberFormat="1"/>
    <xf numFmtId="0" fontId="0" fillId="3" borderId="0" xfId="0" applyFill="1"/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B11" totalsRowShown="0" headerRowDxfId="31" dataDxfId="30">
  <autoFilter ref="A4:B11"/>
  <tableColumns count="2">
    <tableColumn id="1" name="Column1" dataDxfId="33"/>
    <tableColumn id="2" name="Column2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C10" totalsRowShown="0" headerRowDxfId="25" dataDxfId="26">
  <autoFilter ref="A4:C10"/>
  <tableColumns count="3">
    <tableColumn id="1" name="Column1" dataDxfId="29"/>
    <tableColumn id="2" name="Column2" dataDxfId="28"/>
    <tableColumn id="3" name="Column3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5:B12" totalsRowShown="0" headerRowDxfId="21" dataDxfId="22">
  <autoFilter ref="A5:B12"/>
  <tableColumns count="2">
    <tableColumn id="1" name="Column1" dataDxfId="24"/>
    <tableColumn id="2" name="Column2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:C10" totalsRowShown="0" headerRowDxfId="16" dataDxfId="17">
  <autoFilter ref="A4:C10"/>
  <tableColumns count="3">
    <tableColumn id="1" name="Column1" dataDxfId="20"/>
    <tableColumn id="2" name="Column2" dataDxfId="19"/>
    <tableColumn id="3" name="Column3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4:B10" totalsRowShown="0" headerRowDxfId="13">
  <autoFilter ref="A4:B10"/>
  <tableColumns count="2">
    <tableColumn id="1" name="Column1" dataDxfId="15"/>
    <tableColumn id="2" name="Column2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:C9" totalsRowShown="0" headerRowDxfId="8" dataDxfId="9">
  <autoFilter ref="A4:C9"/>
  <tableColumns count="3">
    <tableColumn id="1" name="Column1" dataDxfId="12"/>
    <tableColumn id="2" name="Column2" dataDxfId="11"/>
    <tableColumn id="3" name="Column3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:B10" totalsRowShown="0" headerRowDxfId="4" dataDxfId="5">
  <autoFilter ref="A4:B10"/>
  <tableColumns count="2">
    <tableColumn id="1" name="Column1" dataDxfId="7"/>
    <tableColumn id="2" name="Column2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4:B10" totalsRowShown="0" headerRowDxfId="0" dataDxfId="1">
  <autoFilter ref="A4:B10"/>
  <tableColumns count="2">
    <tableColumn id="1" name="Column1" dataDxfId="3"/>
    <tableColumn id="2" name="Colum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4" sqref="D4"/>
    </sheetView>
  </sheetViews>
  <sheetFormatPr defaultRowHeight="15" x14ac:dyDescent="0.25"/>
  <cols>
    <col min="1" max="2" width="11" customWidth="1"/>
  </cols>
  <sheetData>
    <row r="1" spans="1:5" x14ac:dyDescent="0.25">
      <c r="A1" s="3" t="s">
        <v>0</v>
      </c>
    </row>
    <row r="2" spans="1:5" x14ac:dyDescent="0.25">
      <c r="A2" t="s">
        <v>1</v>
      </c>
    </row>
    <row r="4" spans="1:5" x14ac:dyDescent="0.25">
      <c r="A4" s="1" t="s">
        <v>9</v>
      </c>
      <c r="B4" s="1" t="s">
        <v>10</v>
      </c>
      <c r="D4" t="s">
        <v>11</v>
      </c>
    </row>
    <row r="5" spans="1:5" x14ac:dyDescent="0.25">
      <c r="A5" s="1" t="s">
        <v>2</v>
      </c>
      <c r="B5" s="1" t="s">
        <v>8</v>
      </c>
    </row>
    <row r="6" spans="1:5" x14ac:dyDescent="0.25">
      <c r="A6" s="1"/>
      <c r="B6" s="1"/>
      <c r="E6" s="2" t="str">
        <f>IF(B7&gt;=40,"Pass","Fail")</f>
        <v>Pass</v>
      </c>
    </row>
    <row r="7" spans="1:5" x14ac:dyDescent="0.25">
      <c r="A7" s="1" t="s">
        <v>3</v>
      </c>
      <c r="B7" s="1">
        <v>45</v>
      </c>
    </row>
    <row r="8" spans="1:5" x14ac:dyDescent="0.25">
      <c r="A8" s="1" t="s">
        <v>4</v>
      </c>
      <c r="B8" s="1">
        <v>72</v>
      </c>
    </row>
    <row r="9" spans="1:5" x14ac:dyDescent="0.25">
      <c r="A9" s="1" t="s">
        <v>5</v>
      </c>
      <c r="B9" s="1">
        <v>55</v>
      </c>
    </row>
    <row r="10" spans="1:5" x14ac:dyDescent="0.25">
      <c r="A10" s="1" t="s">
        <v>6</v>
      </c>
      <c r="B10" s="1">
        <v>80</v>
      </c>
    </row>
    <row r="11" spans="1:5" x14ac:dyDescent="0.25">
      <c r="A11" s="1" t="s">
        <v>7</v>
      </c>
      <c r="B11" s="1">
        <v>30</v>
      </c>
    </row>
    <row r="12" spans="1:5" x14ac:dyDescent="0.25">
      <c r="A12" s="1"/>
      <c r="B12" s="1"/>
    </row>
    <row r="13" spans="1:5" x14ac:dyDescent="0.25">
      <c r="A13" s="1"/>
      <c r="B1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2" sqref="F12"/>
    </sheetView>
  </sheetViews>
  <sheetFormatPr defaultRowHeight="15" x14ac:dyDescent="0.25"/>
  <cols>
    <col min="1" max="1" width="11" customWidth="1"/>
    <col min="2" max="3" width="13.42578125" bestFit="1" customWidth="1"/>
    <col min="5" max="5" width="10.140625" bestFit="1" customWidth="1"/>
  </cols>
  <sheetData>
    <row r="1" spans="1:5" x14ac:dyDescent="0.25">
      <c r="A1" s="3" t="s">
        <v>12</v>
      </c>
    </row>
    <row r="2" spans="1:5" x14ac:dyDescent="0.25">
      <c r="A2" t="s">
        <v>13</v>
      </c>
    </row>
    <row r="4" spans="1:5" x14ac:dyDescent="0.25">
      <c r="A4" s="1" t="s">
        <v>9</v>
      </c>
      <c r="B4" s="1" t="s">
        <v>10</v>
      </c>
      <c r="C4" s="1" t="s">
        <v>21</v>
      </c>
    </row>
    <row r="5" spans="1:5" x14ac:dyDescent="0.25">
      <c r="A5" s="1" t="s">
        <v>14</v>
      </c>
      <c r="B5" s="1" t="s">
        <v>15</v>
      </c>
      <c r="C5" s="1" t="s">
        <v>16</v>
      </c>
      <c r="E5" s="3" t="s">
        <v>32</v>
      </c>
    </row>
    <row r="6" spans="1:5" x14ac:dyDescent="0.25">
      <c r="A6" s="1"/>
      <c r="B6" s="1"/>
      <c r="C6" s="1"/>
    </row>
    <row r="7" spans="1:5" x14ac:dyDescent="0.25">
      <c r="A7" s="1" t="s">
        <v>17</v>
      </c>
      <c r="B7" s="1">
        <v>55000</v>
      </c>
      <c r="C7" s="1">
        <v>95</v>
      </c>
      <c r="E7" s="4" t="str">
        <f>IF(AND(Table2[[#This Row],[Column2]]&gt;40000,Table2[[#This Row],[Column3]]&gt;=90),"Bonus","Not Bonus")</f>
        <v>Bonus</v>
      </c>
    </row>
    <row r="8" spans="1:5" x14ac:dyDescent="0.25">
      <c r="A8" s="1" t="s">
        <v>18</v>
      </c>
      <c r="B8" s="1">
        <v>65000</v>
      </c>
      <c r="C8" s="1">
        <v>85</v>
      </c>
      <c r="E8" s="4" t="str">
        <f>IF(AND(Table2[[#This Row],[Column2]]&gt;40000,Table2[[#This Row],[Column3]]&gt;=90),"Bonus","Not Bonus")</f>
        <v>Not Bonus</v>
      </c>
    </row>
    <row r="9" spans="1:5" x14ac:dyDescent="0.25">
      <c r="A9" s="1" t="s">
        <v>19</v>
      </c>
      <c r="B9" s="1">
        <v>30000</v>
      </c>
      <c r="C9" s="1">
        <v>90</v>
      </c>
      <c r="E9" s="4" t="str">
        <f>IF(AND(Table2[[#This Row],[Column2]]&gt;40000,Table2[[#This Row],[Column3]]&gt;=90),"Bonus","Not Bonus")</f>
        <v>Not Bonus</v>
      </c>
    </row>
    <row r="10" spans="1:5" x14ac:dyDescent="0.25">
      <c r="A10" s="1" t="s">
        <v>20</v>
      </c>
      <c r="B10" s="1">
        <v>25000</v>
      </c>
      <c r="C10" s="1">
        <v>65</v>
      </c>
      <c r="E10" s="4" t="str">
        <f>IF(AND(Table2[[#This Row],[Column2]]&gt;40000,Table2[[#This Row],[Column3]]&gt;=90),"Bonus","Not Bonus")</f>
        <v>Not Bonus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21" sqref="E21"/>
    </sheetView>
  </sheetViews>
  <sheetFormatPr defaultRowHeight="15" x14ac:dyDescent="0.25"/>
  <cols>
    <col min="1" max="1" width="11" customWidth="1"/>
    <col min="2" max="2" width="13.42578125" bestFit="1" customWidth="1"/>
  </cols>
  <sheetData>
    <row r="1" spans="1:4" x14ac:dyDescent="0.25">
      <c r="A1" s="3" t="s">
        <v>22</v>
      </c>
    </row>
    <row r="2" spans="1:4" x14ac:dyDescent="0.25">
      <c r="A2" t="s">
        <v>23</v>
      </c>
    </row>
    <row r="3" spans="1:4" x14ac:dyDescent="0.25">
      <c r="A3" t="s">
        <v>24</v>
      </c>
    </row>
    <row r="5" spans="1:4" x14ac:dyDescent="0.25">
      <c r="A5" s="1" t="s">
        <v>9</v>
      </c>
      <c r="B5" s="1" t="s">
        <v>10</v>
      </c>
      <c r="D5" t="s">
        <v>34</v>
      </c>
    </row>
    <row r="6" spans="1:4" x14ac:dyDescent="0.25">
      <c r="A6" s="1" t="s">
        <v>2</v>
      </c>
      <c r="B6" s="1" t="s">
        <v>8</v>
      </c>
      <c r="D6" s="3" t="s">
        <v>33</v>
      </c>
    </row>
    <row r="7" spans="1:4" x14ac:dyDescent="0.25">
      <c r="A7" s="1"/>
      <c r="B7" s="1"/>
    </row>
    <row r="8" spans="1:4" x14ac:dyDescent="0.25">
      <c r="A8" s="1" t="s">
        <v>29</v>
      </c>
      <c r="B8" s="1">
        <v>85</v>
      </c>
      <c r="D8" s="5" t="str">
        <f>IF(Table3[[#This Row],[Column2]]&gt;=90,"A",IF(Table3[[#This Row],[Column2]]&gt;=75,"B",IF(Table3[[#This Row],[Column2]]&gt;=50,"C","Fail")))</f>
        <v>B</v>
      </c>
    </row>
    <row r="9" spans="1:4" x14ac:dyDescent="0.25">
      <c r="A9" s="1" t="s">
        <v>25</v>
      </c>
      <c r="B9" s="1">
        <v>96</v>
      </c>
      <c r="D9" s="5" t="str">
        <f>IF(Table3[[#This Row],[Column2]]&gt;=90,"A",IF(Table3[[#This Row],[Column2]]&gt;=75,"B",IF(Table3[[#This Row],[Column2]]&gt;=50,"C","Fail")))</f>
        <v>A</v>
      </c>
    </row>
    <row r="10" spans="1:4" x14ac:dyDescent="0.25">
      <c r="A10" s="1" t="s">
        <v>26</v>
      </c>
      <c r="B10" s="1">
        <v>57</v>
      </c>
      <c r="D10" s="5" t="str">
        <f>IF(Table3[[#This Row],[Column2]]&gt;=90,"A",IF(Table3[[#This Row],[Column2]]&gt;=75,"B",IF(Table3[[#This Row],[Column2]]&gt;=50,"C","Fail")))</f>
        <v>C</v>
      </c>
    </row>
    <row r="11" spans="1:4" x14ac:dyDescent="0.25">
      <c r="A11" s="1" t="s">
        <v>27</v>
      </c>
      <c r="B11" s="1">
        <v>92</v>
      </c>
      <c r="D11" s="5" t="str">
        <f>IF(Table3[[#This Row],[Column2]]&gt;=90,"A",IF(Table3[[#This Row],[Column2]]&gt;=75,"B",IF(Table3[[#This Row],[Column2]]&gt;=50,"C","Fail")))</f>
        <v>A</v>
      </c>
    </row>
    <row r="12" spans="1:4" x14ac:dyDescent="0.25">
      <c r="A12" s="1" t="s">
        <v>28</v>
      </c>
      <c r="B12" s="1">
        <v>75</v>
      </c>
      <c r="D12" s="5" t="str">
        <f>IF(Table3[[#This Row],[Column2]]&gt;=90,"A",IF(Table3[[#This Row],[Column2]]&gt;=75,"B",IF(Table3[[#This Row],[Column2]]&gt;=50,"C","Fail")))</f>
        <v>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G7" sqref="G7"/>
    </sheetView>
  </sheetViews>
  <sheetFormatPr defaultRowHeight="15" x14ac:dyDescent="0.25"/>
  <cols>
    <col min="1" max="1" width="11" customWidth="1"/>
    <col min="2" max="2" width="13.42578125" bestFit="1" customWidth="1"/>
    <col min="3" max="3" width="11" customWidth="1"/>
  </cols>
  <sheetData>
    <row r="1" spans="1:13" x14ac:dyDescent="0.25">
      <c r="A1" s="3" t="s">
        <v>31</v>
      </c>
    </row>
    <row r="2" spans="1:13" x14ac:dyDescent="0.25">
      <c r="A2" t="s">
        <v>30</v>
      </c>
    </row>
    <row r="4" spans="1:13" x14ac:dyDescent="0.25">
      <c r="A4" s="1" t="s">
        <v>9</v>
      </c>
      <c r="B4" s="1" t="s">
        <v>10</v>
      </c>
      <c r="C4" s="1" t="s">
        <v>21</v>
      </c>
    </row>
    <row r="5" spans="1:13" x14ac:dyDescent="0.25">
      <c r="A5" s="1" t="s">
        <v>35</v>
      </c>
      <c r="B5" s="1" t="s">
        <v>36</v>
      </c>
      <c r="C5" s="1" t="s">
        <v>37</v>
      </c>
    </row>
    <row r="6" spans="1:13" x14ac:dyDescent="0.25">
      <c r="A6" s="1"/>
      <c r="B6" s="1"/>
      <c r="C6" s="1"/>
    </row>
    <row r="7" spans="1:13" x14ac:dyDescent="0.25">
      <c r="A7" s="1" t="s">
        <v>38</v>
      </c>
      <c r="B7" s="1" t="s">
        <v>5</v>
      </c>
      <c r="C7" s="1" t="s">
        <v>44</v>
      </c>
      <c r="E7" s="4" t="str">
        <f>VLOOKUP(A9,A7:C10,3,FALSE)</f>
        <v>Finance</v>
      </c>
    </row>
    <row r="8" spans="1:13" x14ac:dyDescent="0.25">
      <c r="A8" s="1" t="s">
        <v>39</v>
      </c>
      <c r="B8" s="1" t="s">
        <v>3</v>
      </c>
      <c r="C8" s="1" t="s">
        <v>45</v>
      </c>
    </row>
    <row r="9" spans="1:13" x14ac:dyDescent="0.25">
      <c r="A9" s="1" t="s">
        <v>40</v>
      </c>
      <c r="B9" s="1" t="s">
        <v>43</v>
      </c>
      <c r="C9" s="1" t="s">
        <v>46</v>
      </c>
    </row>
    <row r="10" spans="1:13" x14ac:dyDescent="0.25">
      <c r="A10" s="1" t="s">
        <v>41</v>
      </c>
      <c r="B10" s="1" t="s">
        <v>42</v>
      </c>
      <c r="C10" s="1" t="s">
        <v>15</v>
      </c>
    </row>
    <row r="12" spans="1:13" x14ac:dyDescent="0.25">
      <c r="A12" s="4" t="s">
        <v>47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H10" sqref="H10"/>
    </sheetView>
  </sheetViews>
  <sheetFormatPr defaultRowHeight="15" x14ac:dyDescent="0.25"/>
  <cols>
    <col min="1" max="1" width="11" customWidth="1"/>
    <col min="2" max="2" width="16" bestFit="1" customWidth="1"/>
    <col min="4" max="4" width="23.5703125" bestFit="1" customWidth="1"/>
    <col min="8" max="8" width="19.7109375" bestFit="1" customWidth="1"/>
  </cols>
  <sheetData>
    <row r="1" spans="1:10" x14ac:dyDescent="0.25">
      <c r="A1" s="3" t="s">
        <v>48</v>
      </c>
    </row>
    <row r="2" spans="1:10" x14ac:dyDescent="0.25">
      <c r="A2" t="s">
        <v>49</v>
      </c>
    </row>
    <row r="4" spans="1:10" x14ac:dyDescent="0.25">
      <c r="A4" s="1" t="s">
        <v>9</v>
      </c>
      <c r="B4" s="1" t="s">
        <v>10</v>
      </c>
      <c r="D4" s="3" t="s">
        <v>53</v>
      </c>
      <c r="H4" s="8">
        <v>45000</v>
      </c>
    </row>
    <row r="5" spans="1:10" x14ac:dyDescent="0.25">
      <c r="A5" s="1" t="s">
        <v>50</v>
      </c>
      <c r="B5" s="1" t="s">
        <v>51</v>
      </c>
      <c r="D5" t="s">
        <v>54</v>
      </c>
    </row>
    <row r="6" spans="1:10" x14ac:dyDescent="0.25">
      <c r="A6" s="1"/>
      <c r="B6" s="1"/>
      <c r="D6" s="7" t="s">
        <v>51</v>
      </c>
      <c r="F6" s="5">
        <f>VLOOKUP(H4,A7:B10,2,TRUE)</f>
        <v>0.1</v>
      </c>
      <c r="H6" s="9" t="s">
        <v>58</v>
      </c>
      <c r="J6" s="10">
        <f>H4*VLOOKUP(H4,A7:B10,2,TRUE)</f>
        <v>4500</v>
      </c>
    </row>
    <row r="7" spans="1:10" x14ac:dyDescent="0.25">
      <c r="A7" s="1">
        <v>0</v>
      </c>
      <c r="B7" s="6">
        <v>0.05</v>
      </c>
      <c r="D7" t="s">
        <v>55</v>
      </c>
    </row>
    <row r="8" spans="1:10" x14ac:dyDescent="0.25">
      <c r="A8" s="1">
        <v>20000</v>
      </c>
      <c r="B8" s="6">
        <v>0.1</v>
      </c>
      <c r="D8" t="s">
        <v>56</v>
      </c>
    </row>
    <row r="9" spans="1:10" x14ac:dyDescent="0.25">
      <c r="A9" s="1">
        <v>50000</v>
      </c>
      <c r="B9" s="6">
        <v>0.15</v>
      </c>
      <c r="D9" t="s">
        <v>57</v>
      </c>
    </row>
    <row r="10" spans="1:10" x14ac:dyDescent="0.25">
      <c r="A10" s="1">
        <v>80000</v>
      </c>
      <c r="B10" s="6">
        <v>0.2</v>
      </c>
    </row>
    <row r="12" spans="1:10" x14ac:dyDescent="0.25">
      <c r="A12" t="s">
        <v>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G8" sqref="G8"/>
    </sheetView>
  </sheetViews>
  <sheetFormatPr defaultRowHeight="15" x14ac:dyDescent="0.25"/>
  <cols>
    <col min="1" max="1" width="11" customWidth="1"/>
    <col min="2" max="2" width="13.42578125" bestFit="1" customWidth="1"/>
    <col min="3" max="3" width="15" bestFit="1" customWidth="1"/>
  </cols>
  <sheetData>
    <row r="1" spans="1:5" x14ac:dyDescent="0.25">
      <c r="A1" s="3" t="s">
        <v>59</v>
      </c>
    </row>
    <row r="2" spans="1:5" x14ac:dyDescent="0.25">
      <c r="A2" t="s">
        <v>60</v>
      </c>
    </row>
    <row r="4" spans="1:5" x14ac:dyDescent="0.25">
      <c r="A4" s="1" t="s">
        <v>9</v>
      </c>
      <c r="B4" s="1" t="s">
        <v>10</v>
      </c>
      <c r="C4" s="1" t="s">
        <v>21</v>
      </c>
    </row>
    <row r="5" spans="1:5" x14ac:dyDescent="0.25">
      <c r="A5" s="1" t="s">
        <v>61</v>
      </c>
      <c r="B5" s="1" t="s">
        <v>62</v>
      </c>
      <c r="C5" s="1" t="s">
        <v>63</v>
      </c>
    </row>
    <row r="6" spans="1:5" x14ac:dyDescent="0.25">
      <c r="A6" s="1"/>
      <c r="B6" s="1"/>
      <c r="C6" s="1"/>
    </row>
    <row r="7" spans="1:5" x14ac:dyDescent="0.25">
      <c r="A7" s="1" t="s">
        <v>64</v>
      </c>
      <c r="B7" s="1">
        <v>10</v>
      </c>
      <c r="C7" s="1">
        <v>12</v>
      </c>
      <c r="E7" s="4" t="str">
        <f>IF(Table6[[#This Row],[Column2]]&gt;Table6[[#This Row],[Column3]],"Exceeded","OK")</f>
        <v>OK</v>
      </c>
    </row>
    <row r="8" spans="1:5" x14ac:dyDescent="0.25">
      <c r="A8" s="1" t="s">
        <v>65</v>
      </c>
      <c r="B8" s="1">
        <v>10</v>
      </c>
      <c r="C8" s="1">
        <v>15</v>
      </c>
      <c r="E8" s="4" t="str">
        <f>IF(Table6[[#This Row],[Column2]]&gt;Table6[[#This Row],[Column3]],"Exceeded","OK")</f>
        <v>OK</v>
      </c>
    </row>
    <row r="9" spans="1:5" x14ac:dyDescent="0.25">
      <c r="A9" s="1" t="s">
        <v>66</v>
      </c>
      <c r="B9" s="1">
        <v>8</v>
      </c>
      <c r="C9" s="1">
        <v>12</v>
      </c>
      <c r="E9" s="4" t="str">
        <f>IF(Table6[[#This Row],[Column2]]&gt;Table6[[#This Row],[Column3]],"Exceeded","OK")</f>
        <v>OK</v>
      </c>
    </row>
    <row r="11" spans="1:5" x14ac:dyDescent="0.25">
      <c r="A11" t="s">
        <v>67</v>
      </c>
    </row>
    <row r="12" spans="1:5" x14ac:dyDescent="0.25">
      <c r="A12" t="s">
        <v>68</v>
      </c>
    </row>
    <row r="13" spans="1:5" x14ac:dyDescent="0.25">
      <c r="A13" t="s">
        <v>69</v>
      </c>
    </row>
    <row r="15" spans="1:5" x14ac:dyDescent="0.25">
      <c r="A15" s="3" t="s">
        <v>75</v>
      </c>
    </row>
    <row r="16" spans="1:5" x14ac:dyDescent="0.25">
      <c r="A16" t="s">
        <v>76</v>
      </c>
    </row>
    <row r="17" spans="1:1" x14ac:dyDescent="0.25">
      <c r="A17" t="s">
        <v>77</v>
      </c>
    </row>
    <row r="19" spans="1:1" x14ac:dyDescent="0.25">
      <c r="A19" s="3" t="s">
        <v>78</v>
      </c>
    </row>
    <row r="20" spans="1:1" x14ac:dyDescent="0.25">
      <c r="A20" t="s">
        <v>80</v>
      </c>
    </row>
    <row r="21" spans="1:1" x14ac:dyDescent="0.25">
      <c r="A21" t="s">
        <v>81</v>
      </c>
    </row>
    <row r="22" spans="1:1" x14ac:dyDescent="0.25">
      <c r="A22" t="s">
        <v>79</v>
      </c>
    </row>
    <row r="23" spans="1:1" x14ac:dyDescent="0.25">
      <c r="A23" t="s">
        <v>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F10" sqref="F10"/>
    </sheetView>
  </sheetViews>
  <sheetFormatPr defaultRowHeight="15" x14ac:dyDescent="0.25"/>
  <cols>
    <col min="1" max="1" width="11" customWidth="1"/>
    <col min="2" max="2" width="13.42578125" bestFit="1" customWidth="1"/>
  </cols>
  <sheetData>
    <row r="1" spans="1:4" x14ac:dyDescent="0.25">
      <c r="A1" s="3" t="s">
        <v>71</v>
      </c>
    </row>
    <row r="2" spans="1:4" x14ac:dyDescent="0.25">
      <c r="A2" t="s">
        <v>72</v>
      </c>
    </row>
    <row r="4" spans="1:4" x14ac:dyDescent="0.25">
      <c r="A4" s="1" t="s">
        <v>9</v>
      </c>
      <c r="B4" s="1" t="s">
        <v>10</v>
      </c>
    </row>
    <row r="5" spans="1:4" x14ac:dyDescent="0.25">
      <c r="A5" s="1" t="s">
        <v>73</v>
      </c>
      <c r="B5" s="1" t="s">
        <v>74</v>
      </c>
    </row>
    <row r="6" spans="1:4" x14ac:dyDescent="0.25">
      <c r="A6" s="1"/>
      <c r="B6" s="1"/>
    </row>
    <row r="7" spans="1:4" x14ac:dyDescent="0.25">
      <c r="A7" s="1" t="s">
        <v>41</v>
      </c>
      <c r="B7" s="1">
        <v>55000</v>
      </c>
      <c r="D7" s="4">
        <f>INDEX(B7:B10,MATCH(A8,A7:A10,0))</f>
        <v>72000</v>
      </c>
    </row>
    <row r="8" spans="1:4" x14ac:dyDescent="0.25">
      <c r="A8" s="1" t="s">
        <v>89</v>
      </c>
      <c r="B8" s="1">
        <v>72000</v>
      </c>
    </row>
    <row r="9" spans="1:4" x14ac:dyDescent="0.25">
      <c r="A9" s="1" t="s">
        <v>85</v>
      </c>
      <c r="B9" s="1">
        <v>62000</v>
      </c>
    </row>
    <row r="10" spans="1:4" x14ac:dyDescent="0.25">
      <c r="A10" s="1" t="s">
        <v>39</v>
      </c>
      <c r="B10" s="1">
        <v>41000</v>
      </c>
    </row>
    <row r="12" spans="1:4" x14ac:dyDescent="0.25">
      <c r="A12" t="s">
        <v>88</v>
      </c>
    </row>
    <row r="13" spans="1:4" x14ac:dyDescent="0.25">
      <c r="A13" t="s">
        <v>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8" sqref="D8"/>
    </sheetView>
  </sheetViews>
  <sheetFormatPr defaultRowHeight="15" x14ac:dyDescent="0.25"/>
  <cols>
    <col min="1" max="1" width="11" customWidth="1"/>
    <col min="2" max="2" width="13.42578125" bestFit="1" customWidth="1"/>
  </cols>
  <sheetData>
    <row r="1" spans="1:4" x14ac:dyDescent="0.25">
      <c r="A1" s="3" t="s">
        <v>70</v>
      </c>
    </row>
    <row r="2" spans="1:4" x14ac:dyDescent="0.25">
      <c r="A2" t="s">
        <v>83</v>
      </c>
    </row>
    <row r="4" spans="1:4" x14ac:dyDescent="0.25">
      <c r="A4" s="1" t="s">
        <v>9</v>
      </c>
      <c r="B4" s="1" t="s">
        <v>10</v>
      </c>
    </row>
    <row r="5" spans="1:4" x14ac:dyDescent="0.25">
      <c r="A5" s="1" t="s">
        <v>73</v>
      </c>
      <c r="B5" s="1" t="s">
        <v>74</v>
      </c>
    </row>
    <row r="6" spans="1:4" x14ac:dyDescent="0.25">
      <c r="A6" s="1"/>
      <c r="B6" s="1"/>
    </row>
    <row r="7" spans="1:4" x14ac:dyDescent="0.25">
      <c r="A7" s="1" t="s">
        <v>38</v>
      </c>
      <c r="B7" s="1" t="s">
        <v>45</v>
      </c>
    </row>
    <row r="8" spans="1:4" x14ac:dyDescent="0.25">
      <c r="A8" s="1" t="s">
        <v>84</v>
      </c>
      <c r="B8" s="1" t="s">
        <v>44</v>
      </c>
      <c r="D8" s="4" t="e">
        <f ca="1">xlookup(Table8[[#This Row],[Column1]],A7:A10,B7:B10)</f>
        <v>#NAME?</v>
      </c>
    </row>
    <row r="9" spans="1:4" x14ac:dyDescent="0.25">
      <c r="A9" s="1" t="s">
        <v>85</v>
      </c>
      <c r="B9" s="1" t="s">
        <v>15</v>
      </c>
    </row>
    <row r="10" spans="1:4" x14ac:dyDescent="0.25">
      <c r="A10" s="1" t="s">
        <v>86</v>
      </c>
      <c r="B10" s="1" t="s">
        <v>46</v>
      </c>
    </row>
    <row r="12" spans="1:4" x14ac:dyDescent="0.25">
      <c r="A12" t="s">
        <v>90</v>
      </c>
    </row>
    <row r="13" spans="1:4" x14ac:dyDescent="0.25">
      <c r="A13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2025-12-16T14:19:20Z</dcterms:created>
  <dcterms:modified xsi:type="dcterms:W3CDTF">2025-12-16T16:01:11Z</dcterms:modified>
</cp:coreProperties>
</file>